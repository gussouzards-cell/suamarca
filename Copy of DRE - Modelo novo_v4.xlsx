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13_ncr:1_{58E54CF1-11F3-4A01-A66B-B5061E79E357}" xr6:coauthVersionLast="47" xr6:coauthVersionMax="47" xr10:uidLastSave="{00000000-0000-0000-0000-000000000000}"/>
  <bookViews>
    <workbookView xWindow="-120" yWindow="-120" windowWidth="29040" windowHeight="15840" firstSheet="7" activeTab="9" xr2:uid="{DC148BF6-DC09-B747-AC28-7E3C7BFFD740}"/>
  </bookViews>
  <sheets>
    <sheet name="ZH02" sheetId="1" r:id="rId1"/>
    <sheet name="CUPONI" sheetId="2" r:id="rId2"/>
    <sheet name="MANI" sheetId="5" r:id="rId3"/>
    <sheet name="ANBIMA - Saida de Dados" sheetId="15" r:id="rId4"/>
    <sheet name="ANBIMA - REUNE" sheetId="3" r:id="rId5"/>
    <sheet name="CREFISA" sheetId="6" r:id="rId6"/>
    <sheet name="COGNA - KEEGGO" sheetId="14" r:id="rId7"/>
    <sheet name="LPs" sheetId="7" r:id="rId8"/>
    <sheet name="RESUMO PROJETOS" sheetId="8" r:id="rId9"/>
    <sheet name="DRE ORLA 2023" sheetId="9" r:id="rId10"/>
    <sheet name="Sheet1" sheetId="16" r:id="rId11"/>
    <sheet name="REEMBOLSO" sheetId="10" r:id="rId12"/>
    <sheet name="Sheet2" sheetId="17" r:id="rId13"/>
    <sheet name="Pivot Pagamentos" sheetId="12" r:id="rId14"/>
    <sheet name="PAGAMENTOS" sheetId="11" r:id="rId15"/>
    <sheet name="VENDAS" sheetId="13" r:id="rId16"/>
  </sheets>
  <externalReferences>
    <externalReference r:id="rId17"/>
    <externalReference r:id="rId18"/>
  </externalReferences>
  <definedNames>
    <definedName name="_xlnm._FilterDatabase" localSheetId="1" hidden="1">CUPONI!$A$14:$O$21</definedName>
    <definedName name="_xlnm._FilterDatabase" localSheetId="0" hidden="1">'ZH02'!$B$1:$P$43</definedName>
  </definedNames>
  <calcPr calcId="191029"/>
  <pivotCaches>
    <pivotCache cacheId="0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5" i="9" l="1"/>
  <c r="C148" i="11" s="1"/>
  <c r="H127" i="11"/>
  <c r="C147" i="11"/>
  <c r="C146" i="11"/>
  <c r="C143" i="11"/>
  <c r="C142" i="11"/>
  <c r="C141" i="11"/>
  <c r="H42" i="10"/>
  <c r="Z82" i="12"/>
  <c r="Z83" i="12" s="1"/>
  <c r="X78" i="12"/>
  <c r="Y78" i="12"/>
  <c r="I58" i="10"/>
  <c r="J58" i="10"/>
  <c r="K58" i="10"/>
  <c r="L58" i="10"/>
  <c r="M58" i="10"/>
  <c r="H58" i="10"/>
  <c r="Q19" i="10"/>
  <c r="H14" i="10"/>
  <c r="H8" i="10"/>
  <c r="H7" i="10"/>
  <c r="I16" i="14"/>
  <c r="J16" i="14"/>
  <c r="K16" i="14"/>
  <c r="L16" i="14"/>
  <c r="M16" i="14"/>
  <c r="H16" i="3"/>
  <c r="J18" i="6" l="1"/>
  <c r="K18" i="6"/>
  <c r="L18" i="6"/>
  <c r="M18" i="6"/>
  <c r="N18" i="6"/>
  <c r="I18" i="6"/>
  <c r="J19" i="15" l="1"/>
  <c r="K19" i="15"/>
  <c r="L19" i="15"/>
  <c r="M19" i="15"/>
  <c r="N19" i="15"/>
  <c r="J22" i="15"/>
  <c r="K22" i="15"/>
  <c r="L22" i="15"/>
  <c r="M22" i="15"/>
  <c r="N22" i="15"/>
  <c r="J26" i="15"/>
  <c r="K26" i="15"/>
  <c r="L26" i="15"/>
  <c r="M26" i="15"/>
  <c r="N26" i="15"/>
  <c r="U26" i="15"/>
  <c r="U25" i="15"/>
  <c r="U24" i="15"/>
  <c r="U23" i="15"/>
  <c r="U22" i="15"/>
  <c r="U21" i="15"/>
  <c r="U20" i="15"/>
  <c r="T27" i="15"/>
  <c r="I28" i="15"/>
  <c r="L5" i="1"/>
  <c r="Q18" i="15"/>
  <c r="Q19" i="15" s="1"/>
  <c r="U27" i="15" l="1"/>
  <c r="I17" i="15"/>
  <c r="J17" i="15"/>
  <c r="K17" i="15"/>
  <c r="H21" i="1"/>
  <c r="H22" i="1"/>
  <c r="H23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F23" i="1"/>
  <c r="F22" i="1"/>
  <c r="F21" i="1"/>
  <c r="H20" i="1"/>
  <c r="F20" i="1"/>
  <c r="H19" i="1"/>
  <c r="F19" i="1"/>
  <c r="L75" i="9"/>
  <c r="M75" i="9"/>
  <c r="K75" i="9"/>
  <c r="I75" i="9"/>
  <c r="J75" i="9"/>
  <c r="G2" i="16"/>
  <c r="P9" i="16" s="1"/>
  <c r="H10" i="10"/>
  <c r="H18" i="10"/>
  <c r="F15" i="16" l="1"/>
  <c r="F17" i="16"/>
  <c r="F18" i="16"/>
  <c r="F19" i="16"/>
  <c r="F20" i="16"/>
  <c r="F21" i="16"/>
  <c r="F22" i="16"/>
  <c r="F16" i="16"/>
  <c r="F42" i="11"/>
  <c r="C66" i="11"/>
  <c r="G75" i="9" l="1"/>
  <c r="G74" i="9"/>
  <c r="G73" i="9"/>
  <c r="H16" i="14"/>
  <c r="E28" i="2" l="1"/>
  <c r="T23" i="9"/>
  <c r="H16" i="10"/>
  <c r="G11" i="10"/>
  <c r="C99" i="11"/>
  <c r="C100" i="11"/>
  <c r="I69" i="10"/>
  <c r="J69" i="10"/>
  <c r="K69" i="10"/>
  <c r="L69" i="10"/>
  <c r="M69" i="10"/>
  <c r="H69" i="10"/>
  <c r="I68" i="10"/>
  <c r="J68" i="10"/>
  <c r="K68" i="10"/>
  <c r="L68" i="10"/>
  <c r="M68" i="10"/>
  <c r="H68" i="10"/>
  <c r="T80" i="9"/>
  <c r="K16" i="15"/>
  <c r="L16" i="15"/>
  <c r="M16" i="15"/>
  <c r="N16" i="15"/>
  <c r="L17" i="6"/>
  <c r="M17" i="6"/>
  <c r="N17" i="6"/>
  <c r="I17" i="6"/>
  <c r="J17" i="6"/>
  <c r="K17" i="6"/>
  <c r="H17" i="6"/>
  <c r="J39" i="9"/>
  <c r="K39" i="9"/>
  <c r="L39" i="9"/>
  <c r="M39" i="9"/>
  <c r="N39" i="9"/>
  <c r="I39" i="9"/>
  <c r="C96" i="11"/>
  <c r="C77" i="11"/>
  <c r="C91" i="11"/>
  <c r="J24" i="15"/>
  <c r="K24" i="15"/>
  <c r="L24" i="15"/>
  <c r="M24" i="15"/>
  <c r="N24" i="15"/>
  <c r="I24" i="15"/>
  <c r="H17" i="1"/>
  <c r="H18" i="1"/>
  <c r="F18" i="1"/>
  <c r="H20" i="5"/>
  <c r="H21" i="15"/>
  <c r="L37" i="9"/>
  <c r="M37" i="9"/>
  <c r="N37" i="9"/>
  <c r="A16" i="9"/>
  <c r="A29" i="9"/>
  <c r="N16" i="16" l="1"/>
  <c r="N18" i="16"/>
  <c r="N20" i="16"/>
  <c r="N22" i="16"/>
  <c r="N17" i="16"/>
  <c r="N19" i="16"/>
  <c r="N21" i="16"/>
  <c r="P12" i="16"/>
  <c r="H19" i="16"/>
  <c r="J20" i="16"/>
  <c r="L21" i="16"/>
  <c r="I22" i="16"/>
  <c r="J22" i="16"/>
  <c r="I21" i="16"/>
  <c r="L22" i="16"/>
  <c r="K21" i="16"/>
  <c r="I19" i="16"/>
  <c r="K20" i="16"/>
  <c r="M21" i="16"/>
  <c r="M20" i="16"/>
  <c r="H21" i="16"/>
  <c r="M19" i="16"/>
  <c r="I20" i="16"/>
  <c r="J19" i="16"/>
  <c r="L20" i="16"/>
  <c r="H22" i="16"/>
  <c r="K19" i="16"/>
  <c r="L19" i="16"/>
  <c r="K22" i="16"/>
  <c r="M22" i="16"/>
  <c r="H20" i="16"/>
  <c r="J21" i="16"/>
  <c r="M17" i="16"/>
  <c r="J16" i="16"/>
  <c r="L17" i="16"/>
  <c r="I16" i="16"/>
  <c r="H16" i="16"/>
  <c r="K17" i="16"/>
  <c r="H17" i="16"/>
  <c r="M18" i="16"/>
  <c r="J17" i="16"/>
  <c r="H18" i="16"/>
  <c r="L18" i="16"/>
  <c r="I17" i="16"/>
  <c r="K18" i="16"/>
  <c r="M16" i="16"/>
  <c r="J18" i="16"/>
  <c r="L16" i="16"/>
  <c r="I18" i="16"/>
  <c r="K16" i="16"/>
  <c r="C98" i="11"/>
  <c r="L24" i="16" l="1"/>
  <c r="N24" i="16"/>
  <c r="I24" i="16"/>
  <c r="K24" i="16"/>
  <c r="J24" i="16"/>
  <c r="M24" i="16"/>
  <c r="P19" i="16"/>
  <c r="H24" i="16"/>
  <c r="P20" i="16" l="1"/>
  <c r="Q19" i="16"/>
  <c r="A15" i="8"/>
  <c r="N7" i="8"/>
  <c r="H16" i="15" l="1"/>
  <c r="I29" i="15"/>
  <c r="I26" i="15"/>
  <c r="I25" i="15"/>
  <c r="I22" i="15"/>
  <c r="I21" i="15"/>
  <c r="I20" i="15"/>
  <c r="I18" i="15"/>
  <c r="I16" i="15"/>
  <c r="J16" i="15"/>
  <c r="L17" i="15"/>
  <c r="M17" i="15"/>
  <c r="N17" i="15"/>
  <c r="J18" i="15"/>
  <c r="K18" i="15"/>
  <c r="L18" i="15"/>
  <c r="M18" i="15"/>
  <c r="N18" i="15"/>
  <c r="J20" i="15"/>
  <c r="K20" i="15"/>
  <c r="L20" i="15"/>
  <c r="M20" i="15"/>
  <c r="N20" i="15"/>
  <c r="J21" i="15"/>
  <c r="K21" i="15"/>
  <c r="L21" i="15"/>
  <c r="M21" i="15"/>
  <c r="N21" i="15"/>
  <c r="J25" i="15"/>
  <c r="K25" i="15"/>
  <c r="L25" i="15"/>
  <c r="M25" i="15"/>
  <c r="N25" i="15"/>
  <c r="L27" i="15"/>
  <c r="M27" i="15"/>
  <c r="N27" i="15"/>
  <c r="J28" i="15"/>
  <c r="K28" i="15"/>
  <c r="L28" i="15"/>
  <c r="M28" i="15"/>
  <c r="N28" i="15"/>
  <c r="J29" i="15"/>
  <c r="K29" i="15"/>
  <c r="L29" i="15"/>
  <c r="M29" i="15"/>
  <c r="N29" i="15"/>
  <c r="N30" i="15" l="1"/>
  <c r="M30" i="15"/>
  <c r="L30" i="15"/>
  <c r="K30" i="15"/>
  <c r="J30" i="15"/>
  <c r="I30" i="15"/>
  <c r="H30" i="15"/>
  <c r="G30" i="15"/>
  <c r="F30" i="15"/>
  <c r="E30" i="15"/>
  <c r="D30" i="15"/>
  <c r="C30" i="15"/>
  <c r="B30" i="15"/>
  <c r="G15" i="15"/>
  <c r="E15" i="15"/>
  <c r="E14" i="15" s="1"/>
  <c r="D15" i="15"/>
  <c r="D14" i="15" s="1"/>
  <c r="C15" i="15"/>
  <c r="B15" i="15"/>
  <c r="A14" i="15"/>
  <c r="W12" i="15"/>
  <c r="W11" i="15"/>
  <c r="W10" i="15"/>
  <c r="W9" i="15"/>
  <c r="W8" i="15"/>
  <c r="M3" i="15"/>
  <c r="N16" i="9" s="1"/>
  <c r="L3" i="15"/>
  <c r="M16" i="9" s="1"/>
  <c r="K3" i="15"/>
  <c r="L16" i="9" s="1"/>
  <c r="J3" i="15"/>
  <c r="K16" i="9" s="1"/>
  <c r="I3" i="15"/>
  <c r="J16" i="9" s="1"/>
  <c r="H3" i="15"/>
  <c r="I16" i="9" s="1"/>
  <c r="G3" i="15"/>
  <c r="H16" i="9" s="1"/>
  <c r="F3" i="15"/>
  <c r="G16" i="9" s="1"/>
  <c r="E3" i="15"/>
  <c r="D3" i="15"/>
  <c r="C3" i="15"/>
  <c r="B3" i="15"/>
  <c r="O2" i="15"/>
  <c r="G48" i="9"/>
  <c r="G47" i="10"/>
  <c r="G14" i="15" l="1"/>
  <c r="I7" i="8"/>
  <c r="K7" i="9" s="1"/>
  <c r="J7" i="8"/>
  <c r="L7" i="9" s="1"/>
  <c r="L7" i="8"/>
  <c r="N7" i="9" s="1"/>
  <c r="B14" i="15"/>
  <c r="K7" i="8"/>
  <c r="M7" i="9" s="1"/>
  <c r="M7" i="8"/>
  <c r="O7" i="9" s="1"/>
  <c r="C14" i="15"/>
  <c r="H7" i="8"/>
  <c r="J7" i="9" s="1"/>
  <c r="G7" i="8"/>
  <c r="F15" i="15"/>
  <c r="F14" i="15" s="1"/>
  <c r="F8" i="15" s="1"/>
  <c r="F11" i="15" s="1"/>
  <c r="F12" i="15" s="1"/>
  <c r="I15" i="15"/>
  <c r="E8" i="15"/>
  <c r="E11" i="15" s="1"/>
  <c r="E12" i="15" s="1"/>
  <c r="D8" i="15"/>
  <c r="D11" i="15" s="1"/>
  <c r="N15" i="15"/>
  <c r="W13" i="15"/>
  <c r="K15" i="15"/>
  <c r="G8" i="15"/>
  <c r="G11" i="15" s="1"/>
  <c r="L15" i="15"/>
  <c r="M15" i="15"/>
  <c r="H15" i="15"/>
  <c r="B8" i="15"/>
  <c r="B11" i="15" s="1"/>
  <c r="B12" i="15" s="1"/>
  <c r="O30" i="15"/>
  <c r="C8" i="15"/>
  <c r="C11" i="15" s="1"/>
  <c r="C12" i="15" s="1"/>
  <c r="J15" i="15"/>
  <c r="O3" i="15"/>
  <c r="G16" i="10"/>
  <c r="G9" i="10"/>
  <c r="G5" i="10"/>
  <c r="G18" i="10"/>
  <c r="I6" i="9"/>
  <c r="J6" i="9"/>
  <c r="K6" i="9"/>
  <c r="L6" i="9"/>
  <c r="M6" i="9"/>
  <c r="N6" i="9"/>
  <c r="O6" i="9"/>
  <c r="H6" i="9"/>
  <c r="G6" i="9"/>
  <c r="I35" i="9"/>
  <c r="J35" i="9"/>
  <c r="K35" i="9"/>
  <c r="L35" i="9"/>
  <c r="M35" i="9"/>
  <c r="N35" i="9"/>
  <c r="I36" i="9"/>
  <c r="J36" i="9"/>
  <c r="K36" i="9"/>
  <c r="L36" i="9"/>
  <c r="M36" i="9"/>
  <c r="N36" i="9"/>
  <c r="H36" i="9"/>
  <c r="F15" i="1"/>
  <c r="I10" i="9"/>
  <c r="H10" i="9"/>
  <c r="A19" i="9"/>
  <c r="A31" i="9" s="1"/>
  <c r="A17" i="8"/>
  <c r="I17" i="14"/>
  <c r="J17" i="14"/>
  <c r="K17" i="14"/>
  <c r="L17" i="14"/>
  <c r="M17" i="14"/>
  <c r="N17" i="14"/>
  <c r="H17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G20" i="14"/>
  <c r="G19" i="14" s="1"/>
  <c r="F20" i="14"/>
  <c r="F19" i="14" s="1"/>
  <c r="E20" i="14"/>
  <c r="E19" i="14" s="1"/>
  <c r="D20" i="14"/>
  <c r="D19" i="14" s="1"/>
  <c r="C20" i="14"/>
  <c r="C19" i="14" s="1"/>
  <c r="N19" i="14"/>
  <c r="M19" i="14"/>
  <c r="L19" i="14"/>
  <c r="K19" i="14"/>
  <c r="J19" i="14"/>
  <c r="I19" i="14"/>
  <c r="H19" i="14"/>
  <c r="B19" i="14"/>
  <c r="N18" i="14"/>
  <c r="M18" i="14"/>
  <c r="L18" i="14"/>
  <c r="K18" i="14"/>
  <c r="J18" i="14"/>
  <c r="I18" i="14"/>
  <c r="H18" i="14"/>
  <c r="G18" i="14"/>
  <c r="F18" i="14"/>
  <c r="G16" i="14"/>
  <c r="E15" i="14"/>
  <c r="D15" i="14"/>
  <c r="C15" i="14"/>
  <c r="B15" i="14"/>
  <c r="A14" i="14"/>
  <c r="W12" i="14"/>
  <c r="W11" i="14"/>
  <c r="W10" i="14"/>
  <c r="W9" i="14"/>
  <c r="W8" i="14"/>
  <c r="M3" i="14"/>
  <c r="L3" i="14"/>
  <c r="K3" i="14"/>
  <c r="J3" i="14"/>
  <c r="I3" i="14"/>
  <c r="H3" i="14"/>
  <c r="G3" i="14"/>
  <c r="G9" i="8" s="1"/>
  <c r="F3" i="14"/>
  <c r="F9" i="8" s="1"/>
  <c r="E3" i="14"/>
  <c r="D3" i="14"/>
  <c r="C3" i="14"/>
  <c r="B3" i="14"/>
  <c r="O2" i="14"/>
  <c r="H71" i="10"/>
  <c r="I71" i="10"/>
  <c r="J71" i="10"/>
  <c r="K71" i="10"/>
  <c r="L71" i="10"/>
  <c r="M71" i="10"/>
  <c r="G71" i="10"/>
  <c r="G20" i="10"/>
  <c r="H38" i="9"/>
  <c r="J38" i="9"/>
  <c r="K38" i="9"/>
  <c r="L38" i="9"/>
  <c r="M38" i="9"/>
  <c r="N38" i="9"/>
  <c r="I38" i="9"/>
  <c r="H16" i="1"/>
  <c r="F16" i="1"/>
  <c r="P9" i="8" l="1"/>
  <c r="Q16" i="9"/>
  <c r="W13" i="14"/>
  <c r="B14" i="14"/>
  <c r="B8" i="14" s="1"/>
  <c r="B11" i="14" s="1"/>
  <c r="B12" i="14" s="1"/>
  <c r="G12" i="15"/>
  <c r="I7" i="9"/>
  <c r="Q7" i="9" s="1"/>
  <c r="P7" i="8"/>
  <c r="J14" i="15"/>
  <c r="N14" i="15"/>
  <c r="K14" i="15"/>
  <c r="M14" i="15"/>
  <c r="L14" i="15"/>
  <c r="I14" i="15"/>
  <c r="H14" i="15"/>
  <c r="O15" i="15"/>
  <c r="O14" i="15" s="1"/>
  <c r="D12" i="15"/>
  <c r="G19" i="9"/>
  <c r="H19" i="9"/>
  <c r="E14" i="14"/>
  <c r="E8" i="14" s="1"/>
  <c r="E11" i="14" s="1"/>
  <c r="E12" i="14" s="1"/>
  <c r="G15" i="14"/>
  <c r="G14" i="14" s="1"/>
  <c r="G8" i="14" s="1"/>
  <c r="N15" i="14"/>
  <c r="N14" i="14" s="1"/>
  <c r="N8" i="14" s="1"/>
  <c r="N11" i="14" s="1"/>
  <c r="N12" i="14" s="1"/>
  <c r="J15" i="14"/>
  <c r="J14" i="14" s="1"/>
  <c r="J8" i="14" s="1"/>
  <c r="J11" i="14" s="1"/>
  <c r="J12" i="14" s="1"/>
  <c r="F15" i="14"/>
  <c r="F14" i="14" s="1"/>
  <c r="F8" i="14" s="1"/>
  <c r="C14" i="14"/>
  <c r="C8" i="14" s="1"/>
  <c r="C11" i="14" s="1"/>
  <c r="C12" i="14" s="1"/>
  <c r="D14" i="14"/>
  <c r="D8" i="14" s="1"/>
  <c r="D11" i="14" s="1"/>
  <c r="D12" i="14" s="1"/>
  <c r="O21" i="14"/>
  <c r="H15" i="14"/>
  <c r="H14" i="14" s="1"/>
  <c r="H8" i="14" s="1"/>
  <c r="H11" i="14" s="1"/>
  <c r="H12" i="14" s="1"/>
  <c r="K15" i="14"/>
  <c r="K14" i="14" s="1"/>
  <c r="K8" i="14" s="1"/>
  <c r="K11" i="14" s="1"/>
  <c r="K12" i="14" s="1"/>
  <c r="L15" i="14"/>
  <c r="L14" i="14" s="1"/>
  <c r="L8" i="14" s="1"/>
  <c r="L11" i="14" s="1"/>
  <c r="L12" i="14" s="1"/>
  <c r="M15" i="14"/>
  <c r="M14" i="14" s="1"/>
  <c r="M8" i="14" s="1"/>
  <c r="M11" i="14" s="1"/>
  <c r="M12" i="14" s="1"/>
  <c r="I15" i="14"/>
  <c r="I14" i="14" s="1"/>
  <c r="I8" i="14" s="1"/>
  <c r="I11" i="14" s="1"/>
  <c r="I12" i="14" s="1"/>
  <c r="O19" i="14"/>
  <c r="O3" i="14"/>
  <c r="Q19" i="9" l="1"/>
  <c r="M8" i="15"/>
  <c r="M15" i="8"/>
  <c r="K8" i="15"/>
  <c r="K15" i="8"/>
  <c r="N8" i="15"/>
  <c r="N15" i="8"/>
  <c r="J8" i="15"/>
  <c r="J15" i="8"/>
  <c r="L8" i="15"/>
  <c r="L15" i="8"/>
  <c r="I8" i="15"/>
  <c r="I15" i="8"/>
  <c r="H8" i="15"/>
  <c r="H29" i="9" s="1"/>
  <c r="H15" i="8"/>
  <c r="G11" i="14"/>
  <c r="G12" i="14" s="1"/>
  <c r="G17" i="8"/>
  <c r="H31" i="9" s="1"/>
  <c r="F11" i="14"/>
  <c r="F12" i="14" s="1"/>
  <c r="F17" i="8"/>
  <c r="O15" i="14"/>
  <c r="O14" i="14" s="1"/>
  <c r="O8" i="14"/>
  <c r="I16" i="6"/>
  <c r="J16" i="6"/>
  <c r="K16" i="6"/>
  <c r="L16" i="6"/>
  <c r="M16" i="6"/>
  <c r="N16" i="6"/>
  <c r="G2" i="2"/>
  <c r="H2" i="2"/>
  <c r="F2" i="2"/>
  <c r="G17" i="2"/>
  <c r="H17" i="2"/>
  <c r="I17" i="2"/>
  <c r="F17" i="1"/>
  <c r="H12" i="1"/>
  <c r="H13" i="1"/>
  <c r="F13" i="1"/>
  <c r="F12" i="1"/>
  <c r="O8" i="15" l="1"/>
  <c r="G31" i="9"/>
  <c r="P17" i="8"/>
  <c r="J11" i="15"/>
  <c r="J12" i="15" s="1"/>
  <c r="J29" i="9"/>
  <c r="P15" i="8"/>
  <c r="N11" i="15"/>
  <c r="N12" i="15" s="1"/>
  <c r="N29" i="9"/>
  <c r="I11" i="15"/>
  <c r="I12" i="15" s="1"/>
  <c r="I29" i="9"/>
  <c r="K11" i="15"/>
  <c r="K12" i="15" s="1"/>
  <c r="K29" i="9"/>
  <c r="L11" i="15"/>
  <c r="L12" i="15" s="1"/>
  <c r="L29" i="9"/>
  <c r="M11" i="15"/>
  <c r="M12" i="15" s="1"/>
  <c r="M29" i="9"/>
  <c r="H11" i="15"/>
  <c r="O11" i="14"/>
  <c r="O12" i="14" s="1"/>
  <c r="O11" i="15" l="1"/>
  <c r="O12" i="15" s="1"/>
  <c r="H12" i="15"/>
  <c r="C61" i="11"/>
  <c r="G17" i="10"/>
  <c r="P3" i="7"/>
  <c r="P4" i="7"/>
  <c r="P5" i="7"/>
  <c r="I10" i="8"/>
  <c r="C59" i="11" l="1"/>
  <c r="L3" i="7"/>
  <c r="L4" i="7"/>
  <c r="L5" i="7"/>
  <c r="L6" i="7"/>
  <c r="L7" i="7"/>
  <c r="L8" i="7"/>
  <c r="M28" i="13"/>
  <c r="M29" i="13"/>
  <c r="F16" i="10"/>
  <c r="E64" i="9"/>
  <c r="H22" i="5"/>
  <c r="H21" i="5" s="1"/>
  <c r="N15" i="9"/>
  <c r="I29" i="13"/>
  <c r="I32" i="13"/>
  <c r="I28" i="13"/>
  <c r="I30" i="13"/>
  <c r="I31" i="13"/>
  <c r="M31" i="13" l="1"/>
  <c r="K10" i="8"/>
  <c r="L10" i="8"/>
  <c r="M10" i="8"/>
  <c r="C58" i="11"/>
  <c r="C36" i="11"/>
  <c r="C35" i="11"/>
  <c r="C34" i="11"/>
  <c r="C16" i="11"/>
  <c r="C15" i="11"/>
  <c r="C14" i="11"/>
  <c r="M32" i="13" l="1"/>
  <c r="M33" i="13"/>
  <c r="K40" i="9"/>
  <c r="L40" i="9"/>
  <c r="C72" i="9"/>
  <c r="D72" i="9"/>
  <c r="E72" i="9"/>
  <c r="F72" i="9"/>
  <c r="G72" i="9"/>
  <c r="H72" i="9"/>
  <c r="I72" i="9"/>
  <c r="J72" i="9"/>
  <c r="K72" i="9"/>
  <c r="L72" i="9"/>
  <c r="M72" i="9"/>
  <c r="B72" i="9"/>
  <c r="A75" i="9"/>
  <c r="A74" i="9"/>
  <c r="A73" i="9"/>
  <c r="A26" i="9"/>
  <c r="A27" i="9"/>
  <c r="A28" i="9"/>
  <c r="B32" i="9"/>
  <c r="C32" i="9"/>
  <c r="A30" i="9"/>
  <c r="M66" i="10"/>
  <c r="M61" i="10" s="1"/>
  <c r="L66" i="10"/>
  <c r="K66" i="10"/>
  <c r="J66" i="10"/>
  <c r="I66" i="10"/>
  <c r="H66" i="10"/>
  <c r="G66" i="10"/>
  <c r="F66" i="10"/>
  <c r="L62" i="10"/>
  <c r="K62" i="10"/>
  <c r="J62" i="10"/>
  <c r="I62" i="10"/>
  <c r="H62" i="10"/>
  <c r="G62" i="10"/>
  <c r="F62" i="10"/>
  <c r="E62" i="10"/>
  <c r="E61" i="10" s="1"/>
  <c r="D62" i="10"/>
  <c r="D61" i="10" s="1"/>
  <c r="C62" i="10"/>
  <c r="C61" i="10" s="1"/>
  <c r="B61" i="10"/>
  <c r="G58" i="10"/>
  <c r="F58" i="10"/>
  <c r="E58" i="10"/>
  <c r="D58" i="10"/>
  <c r="C58" i="10"/>
  <c r="B58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E47" i="10"/>
  <c r="D47" i="10"/>
  <c r="D34" i="10" s="1"/>
  <c r="E37" i="10"/>
  <c r="E35" i="10"/>
  <c r="M34" i="10"/>
  <c r="L34" i="10"/>
  <c r="K34" i="10"/>
  <c r="J34" i="10"/>
  <c r="I34" i="10"/>
  <c r="H34" i="10"/>
  <c r="G34" i="10"/>
  <c r="F34" i="10"/>
  <c r="C34" i="10"/>
  <c r="B34" i="10"/>
  <c r="E24" i="10"/>
  <c r="E23" i="10" s="1"/>
  <c r="M23" i="10"/>
  <c r="L23" i="10"/>
  <c r="K23" i="10"/>
  <c r="J23" i="10"/>
  <c r="I23" i="10"/>
  <c r="H23" i="10"/>
  <c r="G23" i="10"/>
  <c r="C93" i="11" s="1"/>
  <c r="F23" i="10"/>
  <c r="D23" i="10"/>
  <c r="C23" i="10"/>
  <c r="B23" i="10"/>
  <c r="E18" i="10"/>
  <c r="E15" i="10"/>
  <c r="F12" i="10"/>
  <c r="F3" i="10" s="1"/>
  <c r="E11" i="10"/>
  <c r="E9" i="10"/>
  <c r="E5" i="10"/>
  <c r="M3" i="10"/>
  <c r="L3" i="10"/>
  <c r="K3" i="10"/>
  <c r="J3" i="10"/>
  <c r="I3" i="10"/>
  <c r="H3" i="10"/>
  <c r="G3" i="10"/>
  <c r="D3" i="10"/>
  <c r="C3" i="10"/>
  <c r="B3" i="10"/>
  <c r="G40" i="9"/>
  <c r="F40" i="9"/>
  <c r="E40" i="9"/>
  <c r="D40" i="9"/>
  <c r="C40" i="9"/>
  <c r="B40" i="9"/>
  <c r="C35" i="9"/>
  <c r="C34" i="9" s="1"/>
  <c r="D35" i="9"/>
  <c r="D34" i="9" s="1"/>
  <c r="E35" i="9"/>
  <c r="E34" i="9" s="1"/>
  <c r="F35" i="9"/>
  <c r="F34" i="9" s="1"/>
  <c r="G34" i="9"/>
  <c r="B35" i="9"/>
  <c r="B34" i="9" s="1"/>
  <c r="N13" i="9"/>
  <c r="O11" i="9"/>
  <c r="I8" i="9"/>
  <c r="J8" i="9"/>
  <c r="K8" i="9"/>
  <c r="L8" i="9"/>
  <c r="M8" i="9"/>
  <c r="N8" i="9"/>
  <c r="O8" i="9"/>
  <c r="H8" i="9"/>
  <c r="G8" i="9"/>
  <c r="C2" i="5"/>
  <c r="D2" i="5"/>
  <c r="E2" i="5"/>
  <c r="F2" i="5"/>
  <c r="G5" i="9" s="1"/>
  <c r="G2" i="5"/>
  <c r="H5" i="9" s="1"/>
  <c r="H2" i="5"/>
  <c r="I5" i="9" s="1"/>
  <c r="I2" i="5"/>
  <c r="J5" i="9" s="1"/>
  <c r="J2" i="5"/>
  <c r="K2" i="5"/>
  <c r="L2" i="5"/>
  <c r="M2" i="5"/>
  <c r="N2" i="5"/>
  <c r="N14" i="9" s="1"/>
  <c r="B2" i="5"/>
  <c r="G4" i="9"/>
  <c r="H4" i="9"/>
  <c r="I4" i="9"/>
  <c r="J4" i="9"/>
  <c r="K4" i="9"/>
  <c r="L4" i="9"/>
  <c r="M4" i="9"/>
  <c r="N4" i="9"/>
  <c r="O4" i="9"/>
  <c r="F4" i="9"/>
  <c r="E4" i="9"/>
  <c r="D4" i="9"/>
  <c r="Q89" i="9"/>
  <c r="Q88" i="9"/>
  <c r="Q87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20" i="9"/>
  <c r="A18" i="9"/>
  <c r="A17" i="9"/>
  <c r="A15" i="9"/>
  <c r="A14" i="9"/>
  <c r="A13" i="9"/>
  <c r="B21" i="9"/>
  <c r="Q9" i="9"/>
  <c r="C3" i="9"/>
  <c r="B3" i="9"/>
  <c r="N20" i="6"/>
  <c r="N22" i="6"/>
  <c r="C25" i="7"/>
  <c r="K59" i="7"/>
  <c r="K19" i="7" s="1"/>
  <c r="K29" i="7" s="1"/>
  <c r="J59" i="7"/>
  <c r="J19" i="7" s="1"/>
  <c r="J29" i="7" s="1"/>
  <c r="I59" i="7"/>
  <c r="I19" i="7" s="1"/>
  <c r="I29" i="7" s="1"/>
  <c r="H59" i="7"/>
  <c r="H19" i="7" s="1"/>
  <c r="H29" i="7" s="1"/>
  <c r="G59" i="7"/>
  <c r="G19" i="7" s="1"/>
  <c r="G29" i="7" s="1"/>
  <c r="F59" i="7"/>
  <c r="F19" i="7" s="1"/>
  <c r="F29" i="7" s="1"/>
  <c r="E59" i="7"/>
  <c r="E19" i="7" s="1"/>
  <c r="E29" i="7" s="1"/>
  <c r="D59" i="7"/>
  <c r="D19" i="7" s="1"/>
  <c r="D29" i="7" s="1"/>
  <c r="C59" i="7"/>
  <c r="K54" i="7"/>
  <c r="K18" i="7" s="1"/>
  <c r="K28" i="7" s="1"/>
  <c r="J54" i="7"/>
  <c r="J18" i="7" s="1"/>
  <c r="J28" i="7" s="1"/>
  <c r="I54" i="7"/>
  <c r="I18" i="7" s="1"/>
  <c r="I28" i="7" s="1"/>
  <c r="H54" i="7"/>
  <c r="H18" i="7" s="1"/>
  <c r="H28" i="7" s="1"/>
  <c r="G54" i="7"/>
  <c r="G18" i="7" s="1"/>
  <c r="G28" i="7" s="1"/>
  <c r="F54" i="7"/>
  <c r="F18" i="7" s="1"/>
  <c r="F28" i="7" s="1"/>
  <c r="E54" i="7"/>
  <c r="E18" i="7" s="1"/>
  <c r="E28" i="7" s="1"/>
  <c r="D54" i="7"/>
  <c r="D18" i="7" s="1"/>
  <c r="D28" i="7" s="1"/>
  <c r="C54" i="7"/>
  <c r="K49" i="7"/>
  <c r="K17" i="7" s="1"/>
  <c r="K27" i="7" s="1"/>
  <c r="J49" i="7"/>
  <c r="J17" i="7" s="1"/>
  <c r="J27" i="7" s="1"/>
  <c r="I49" i="7"/>
  <c r="I17" i="7" s="1"/>
  <c r="I27" i="7" s="1"/>
  <c r="H49" i="7"/>
  <c r="H17" i="7" s="1"/>
  <c r="H27" i="7" s="1"/>
  <c r="G49" i="7"/>
  <c r="G17" i="7" s="1"/>
  <c r="G27" i="7" s="1"/>
  <c r="F49" i="7"/>
  <c r="F17" i="7" s="1"/>
  <c r="F27" i="7" s="1"/>
  <c r="E49" i="7"/>
  <c r="E17" i="7" s="1"/>
  <c r="E27" i="7" s="1"/>
  <c r="D49" i="7"/>
  <c r="D17" i="7" s="1"/>
  <c r="D27" i="7" s="1"/>
  <c r="C49" i="7"/>
  <c r="D44" i="7"/>
  <c r="E44" i="7"/>
  <c r="E16" i="7" s="1"/>
  <c r="E26" i="7" s="1"/>
  <c r="F44" i="7"/>
  <c r="F16" i="7" s="1"/>
  <c r="F26" i="7" s="1"/>
  <c r="G44" i="7"/>
  <c r="G16" i="7" s="1"/>
  <c r="G26" i="7" s="1"/>
  <c r="H44" i="7"/>
  <c r="H16" i="7" s="1"/>
  <c r="H26" i="7" s="1"/>
  <c r="I44" i="7"/>
  <c r="I16" i="7" s="1"/>
  <c r="I26" i="7" s="1"/>
  <c r="J44" i="7"/>
  <c r="J16" i="7" s="1"/>
  <c r="J26" i="7" s="1"/>
  <c r="K44" i="7"/>
  <c r="K16" i="7" s="1"/>
  <c r="K26" i="7" s="1"/>
  <c r="C44" i="7"/>
  <c r="C16" i="7" s="1"/>
  <c r="C26" i="7" s="1"/>
  <c r="D39" i="7"/>
  <c r="D15" i="7" s="1"/>
  <c r="E39" i="7"/>
  <c r="E15" i="7" s="1"/>
  <c r="E25" i="7" s="1"/>
  <c r="F39" i="7"/>
  <c r="F15" i="7" s="1"/>
  <c r="F25" i="7" s="1"/>
  <c r="G39" i="7"/>
  <c r="G15" i="7" s="1"/>
  <c r="G25" i="7" s="1"/>
  <c r="H39" i="7"/>
  <c r="H15" i="7" s="1"/>
  <c r="H25" i="7" s="1"/>
  <c r="I39" i="7"/>
  <c r="I15" i="7" s="1"/>
  <c r="I25" i="7" s="1"/>
  <c r="J39" i="7"/>
  <c r="J15" i="7" s="1"/>
  <c r="J25" i="7" s="1"/>
  <c r="K39" i="7"/>
  <c r="K15" i="7" s="1"/>
  <c r="K25" i="7" s="1"/>
  <c r="C39" i="7"/>
  <c r="D34" i="7"/>
  <c r="D14" i="7" s="1"/>
  <c r="D24" i="7" s="1"/>
  <c r="E34" i="7"/>
  <c r="E14" i="7" s="1"/>
  <c r="E24" i="7" s="1"/>
  <c r="F34" i="7"/>
  <c r="F14" i="7" s="1"/>
  <c r="G34" i="7"/>
  <c r="G14" i="7" s="1"/>
  <c r="G24" i="7" s="1"/>
  <c r="H34" i="7"/>
  <c r="H14" i="7" s="1"/>
  <c r="H24" i="7" s="1"/>
  <c r="I34" i="7"/>
  <c r="I14" i="7" s="1"/>
  <c r="I24" i="7" s="1"/>
  <c r="J34" i="7"/>
  <c r="J14" i="7" s="1"/>
  <c r="J24" i="7" s="1"/>
  <c r="K34" i="7"/>
  <c r="K14" i="7" s="1"/>
  <c r="K24" i="7" s="1"/>
  <c r="C34" i="7"/>
  <c r="C14" i="7" s="1"/>
  <c r="N32" i="9"/>
  <c r="N19" i="3"/>
  <c r="N21" i="3"/>
  <c r="N18" i="5"/>
  <c r="N21" i="5"/>
  <c r="N23" i="5"/>
  <c r="B30" i="7"/>
  <c r="C2" i="7"/>
  <c r="E11" i="9" s="1"/>
  <c r="D2" i="7"/>
  <c r="E2" i="7"/>
  <c r="F20" i="9" s="1"/>
  <c r="F2" i="7"/>
  <c r="G20" i="9" s="1"/>
  <c r="G2" i="7"/>
  <c r="H20" i="9" s="1"/>
  <c r="H2" i="7"/>
  <c r="J10" i="8" s="1"/>
  <c r="I2" i="7"/>
  <c r="K11" i="9" s="1"/>
  <c r="J2" i="7"/>
  <c r="L11" i="9" s="1"/>
  <c r="K2" i="7"/>
  <c r="M11" i="9" s="1"/>
  <c r="B2" i="7"/>
  <c r="B9" i="7" s="1"/>
  <c r="O20" i="2"/>
  <c r="O2" i="2"/>
  <c r="N16" i="2"/>
  <c r="N18" i="2"/>
  <c r="N19" i="2"/>
  <c r="N21" i="2"/>
  <c r="C13" i="8"/>
  <c r="C27" i="9" s="1"/>
  <c r="N3" i="8"/>
  <c r="A18" i="8"/>
  <c r="A16" i="8"/>
  <c r="A14" i="8"/>
  <c r="A13" i="8"/>
  <c r="A12" i="8"/>
  <c r="B20" i="7"/>
  <c r="D18" i="8" s="1"/>
  <c r="D32" i="9" s="1"/>
  <c r="H16" i="6"/>
  <c r="C3" i="6"/>
  <c r="C8" i="8" s="1"/>
  <c r="D3" i="6"/>
  <c r="D8" i="8" s="1"/>
  <c r="B6" i="5"/>
  <c r="B5" i="8" s="1"/>
  <c r="C6" i="5"/>
  <c r="C5" i="8" s="1"/>
  <c r="D6" i="5"/>
  <c r="D5" i="8" s="1"/>
  <c r="M22" i="6"/>
  <c r="L22" i="6"/>
  <c r="K22" i="6"/>
  <c r="J22" i="6"/>
  <c r="I22" i="6"/>
  <c r="H22" i="6"/>
  <c r="G22" i="6"/>
  <c r="F22" i="6"/>
  <c r="E22" i="6"/>
  <c r="D22" i="6"/>
  <c r="C22" i="6"/>
  <c r="B22" i="6"/>
  <c r="G21" i="6"/>
  <c r="G20" i="6" s="1"/>
  <c r="F21" i="6"/>
  <c r="F20" i="6" s="1"/>
  <c r="E21" i="6"/>
  <c r="E20" i="6" s="1"/>
  <c r="D21" i="6"/>
  <c r="D20" i="6" s="1"/>
  <c r="C21" i="6"/>
  <c r="C20" i="6" s="1"/>
  <c r="M20" i="6"/>
  <c r="L20" i="6"/>
  <c r="K20" i="6"/>
  <c r="J20" i="6"/>
  <c r="I20" i="6"/>
  <c r="H20" i="6"/>
  <c r="B20" i="6"/>
  <c r="G19" i="6"/>
  <c r="F19" i="6"/>
  <c r="G16" i="6"/>
  <c r="F16" i="6"/>
  <c r="D15" i="6"/>
  <c r="C15" i="6"/>
  <c r="B15" i="6"/>
  <c r="A14" i="6"/>
  <c r="W12" i="6"/>
  <c r="W11" i="6"/>
  <c r="W10" i="6"/>
  <c r="W9" i="6"/>
  <c r="W8" i="6"/>
  <c r="M3" i="6"/>
  <c r="N17" i="9" s="1"/>
  <c r="L3" i="6"/>
  <c r="M17" i="9" s="1"/>
  <c r="K3" i="6"/>
  <c r="L17" i="9" s="1"/>
  <c r="J3" i="6"/>
  <c r="K17" i="9" s="1"/>
  <c r="I3" i="6"/>
  <c r="J17" i="9" s="1"/>
  <c r="H3" i="6"/>
  <c r="I17" i="9" s="1"/>
  <c r="G3" i="6"/>
  <c r="H17" i="9" s="1"/>
  <c r="F3" i="6"/>
  <c r="E3" i="6"/>
  <c r="G17" i="9" s="1"/>
  <c r="B3" i="6"/>
  <c r="B8" i="8" s="1"/>
  <c r="O2" i="6"/>
  <c r="O4" i="5"/>
  <c r="O5" i="5"/>
  <c r="O3" i="5"/>
  <c r="C21" i="5"/>
  <c r="D21" i="5"/>
  <c r="F6" i="5"/>
  <c r="F5" i="8" s="1"/>
  <c r="G6" i="5"/>
  <c r="G5" i="8" s="1"/>
  <c r="H6" i="5"/>
  <c r="H5" i="8" s="1"/>
  <c r="I6" i="5"/>
  <c r="I5" i="8" s="1"/>
  <c r="J6" i="5"/>
  <c r="J5" i="8" s="1"/>
  <c r="K6" i="5"/>
  <c r="K5" i="8" s="1"/>
  <c r="L6" i="5"/>
  <c r="L5" i="8" s="1"/>
  <c r="M6" i="5"/>
  <c r="M5" i="8" s="1"/>
  <c r="E6" i="5"/>
  <c r="E5" i="8" s="1"/>
  <c r="M23" i="5"/>
  <c r="L23" i="5"/>
  <c r="K23" i="5"/>
  <c r="J23" i="5"/>
  <c r="I23" i="5"/>
  <c r="H23" i="5"/>
  <c r="G23" i="5"/>
  <c r="F23" i="5"/>
  <c r="E23" i="5"/>
  <c r="D23" i="5"/>
  <c r="C23" i="5"/>
  <c r="B23" i="5"/>
  <c r="L21" i="5"/>
  <c r="K21" i="5"/>
  <c r="J21" i="5"/>
  <c r="G22" i="5"/>
  <c r="G21" i="5" s="1"/>
  <c r="F21" i="5"/>
  <c r="E21" i="5"/>
  <c r="M21" i="5"/>
  <c r="I21" i="5"/>
  <c r="B21" i="5"/>
  <c r="G20" i="5"/>
  <c r="F20" i="5"/>
  <c r="G19" i="5"/>
  <c r="F19" i="5"/>
  <c r="H18" i="5"/>
  <c r="H17" i="5" s="1"/>
  <c r="D18" i="5"/>
  <c r="C18" i="5"/>
  <c r="B18" i="5"/>
  <c r="A17" i="5"/>
  <c r="W15" i="5"/>
  <c r="W14" i="5"/>
  <c r="W13" i="5"/>
  <c r="W12" i="5"/>
  <c r="W11" i="5"/>
  <c r="O2" i="3"/>
  <c r="E19" i="3"/>
  <c r="E21" i="3"/>
  <c r="E3" i="3"/>
  <c r="W9" i="3"/>
  <c r="W10" i="3"/>
  <c r="W11" i="3"/>
  <c r="W12" i="3"/>
  <c r="W8" i="3"/>
  <c r="F20" i="3"/>
  <c r="F19" i="3" s="1"/>
  <c r="G20" i="3"/>
  <c r="G19" i="3" s="1"/>
  <c r="H20" i="3"/>
  <c r="H19" i="3" s="1"/>
  <c r="I19" i="3"/>
  <c r="J19" i="3"/>
  <c r="K19" i="3"/>
  <c r="L19" i="3"/>
  <c r="M19" i="3"/>
  <c r="G16" i="3"/>
  <c r="H17" i="3"/>
  <c r="G18" i="3"/>
  <c r="H18" i="3"/>
  <c r="I18" i="3"/>
  <c r="F18" i="3"/>
  <c r="F16" i="3"/>
  <c r="M21" i="3"/>
  <c r="L21" i="3"/>
  <c r="K21" i="3"/>
  <c r="J21" i="3"/>
  <c r="I21" i="3"/>
  <c r="H21" i="3"/>
  <c r="G21" i="3"/>
  <c r="F21" i="3"/>
  <c r="D21" i="3"/>
  <c r="C21" i="3"/>
  <c r="B21" i="3"/>
  <c r="C19" i="3"/>
  <c r="B19" i="3"/>
  <c r="D19" i="3"/>
  <c r="D15" i="3"/>
  <c r="C15" i="3"/>
  <c r="B15" i="3"/>
  <c r="A14" i="3"/>
  <c r="M3" i="3"/>
  <c r="L3" i="3"/>
  <c r="L15" i="9" s="1"/>
  <c r="K3" i="3"/>
  <c r="K15" i="9" s="1"/>
  <c r="J3" i="3"/>
  <c r="J15" i="9" s="1"/>
  <c r="I3" i="3"/>
  <c r="I15" i="9" s="1"/>
  <c r="H3" i="3"/>
  <c r="H15" i="9" s="1"/>
  <c r="G3" i="3"/>
  <c r="F3" i="3"/>
  <c r="F15" i="9" s="1"/>
  <c r="D3" i="3"/>
  <c r="D6" i="8" s="1"/>
  <c r="C3" i="3"/>
  <c r="C6" i="8" s="1"/>
  <c r="B3" i="3"/>
  <c r="B6" i="8" s="1"/>
  <c r="F15" i="2"/>
  <c r="G16" i="2"/>
  <c r="H16" i="2"/>
  <c r="I16" i="2"/>
  <c r="J16" i="2"/>
  <c r="K16" i="2"/>
  <c r="L16" i="2"/>
  <c r="M16" i="2"/>
  <c r="G18" i="2"/>
  <c r="H18" i="2"/>
  <c r="I18" i="2"/>
  <c r="J18" i="2"/>
  <c r="K18" i="2"/>
  <c r="L18" i="2"/>
  <c r="M18" i="2"/>
  <c r="C3" i="2"/>
  <c r="C4" i="8" s="1"/>
  <c r="D3" i="2"/>
  <c r="D4" i="8" s="1"/>
  <c r="E3" i="2"/>
  <c r="E4" i="8" s="1"/>
  <c r="F3" i="2"/>
  <c r="F4" i="8" s="1"/>
  <c r="G3" i="2"/>
  <c r="G13" i="9" s="1"/>
  <c r="H3" i="2"/>
  <c r="H13" i="9" s="1"/>
  <c r="I3" i="2"/>
  <c r="I4" i="8" s="1"/>
  <c r="J3" i="2"/>
  <c r="J4" i="8" s="1"/>
  <c r="K3" i="2"/>
  <c r="K4" i="8" s="1"/>
  <c r="L3" i="2"/>
  <c r="L4" i="8" s="1"/>
  <c r="M3" i="2"/>
  <c r="M4" i="8" s="1"/>
  <c r="B3" i="2"/>
  <c r="B4" i="8" s="1"/>
  <c r="C21" i="2"/>
  <c r="D21" i="2"/>
  <c r="E21" i="2"/>
  <c r="F21" i="2"/>
  <c r="G21" i="2"/>
  <c r="H21" i="2"/>
  <c r="I21" i="2"/>
  <c r="J21" i="2"/>
  <c r="K21" i="2"/>
  <c r="L21" i="2"/>
  <c r="M21" i="2"/>
  <c r="C20" i="2"/>
  <c r="B20" i="2"/>
  <c r="C16" i="2"/>
  <c r="C15" i="2" s="1"/>
  <c r="D16" i="2"/>
  <c r="B16" i="2"/>
  <c r="B15" i="2" s="1"/>
  <c r="B21" i="2"/>
  <c r="M19" i="2"/>
  <c r="L19" i="2"/>
  <c r="K19" i="2"/>
  <c r="J19" i="2"/>
  <c r="I19" i="2"/>
  <c r="H19" i="2"/>
  <c r="G19" i="2"/>
  <c r="F19" i="2"/>
  <c r="E19" i="2"/>
  <c r="D19" i="2"/>
  <c r="E15" i="2"/>
  <c r="A11" i="2"/>
  <c r="A8" i="2"/>
  <c r="A14" i="2" s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14" i="1"/>
  <c r="F14" i="1"/>
  <c r="H11" i="1"/>
  <c r="F11" i="1"/>
  <c r="H10" i="1"/>
  <c r="F10" i="1"/>
  <c r="H9" i="1"/>
  <c r="F9" i="1"/>
  <c r="F8" i="1"/>
  <c r="H7" i="1"/>
  <c r="F7" i="1"/>
  <c r="H6" i="1"/>
  <c r="F6" i="1"/>
  <c r="H5" i="1"/>
  <c r="F5" i="1"/>
  <c r="H4" i="1"/>
  <c r="F4" i="1"/>
  <c r="Q18" i="9" l="1"/>
  <c r="G6" i="8"/>
  <c r="G15" i="9"/>
  <c r="F20" i="7"/>
  <c r="F11" i="9"/>
  <c r="E20" i="9"/>
  <c r="E15" i="9"/>
  <c r="T24" i="9" s="1"/>
  <c r="Q17" i="9"/>
  <c r="H15" i="2"/>
  <c r="H14" i="2" s="1"/>
  <c r="H8" i="2" s="1"/>
  <c r="C95" i="11"/>
  <c r="C19" i="7"/>
  <c r="L59" i="7"/>
  <c r="H18" i="8"/>
  <c r="H32" i="9" s="1"/>
  <c r="I6" i="8"/>
  <c r="L34" i="7"/>
  <c r="M14" i="9"/>
  <c r="E14" i="9"/>
  <c r="J6" i="8"/>
  <c r="L14" i="9"/>
  <c r="D14" i="9"/>
  <c r="H6" i="8"/>
  <c r="K6" i="8"/>
  <c r="L44" i="7"/>
  <c r="K14" i="9"/>
  <c r="C14" i="9"/>
  <c r="J11" i="9"/>
  <c r="J3" i="9" s="1"/>
  <c r="L6" i="8"/>
  <c r="I30" i="7"/>
  <c r="K30" i="7"/>
  <c r="C17" i="7"/>
  <c r="L49" i="7"/>
  <c r="O5" i="9"/>
  <c r="O3" i="9" s="1"/>
  <c r="M6" i="8"/>
  <c r="M15" i="9"/>
  <c r="C18" i="7"/>
  <c r="L54" i="7"/>
  <c r="L5" i="9"/>
  <c r="L3" i="9" s="1"/>
  <c r="L39" i="7"/>
  <c r="D25" i="7"/>
  <c r="L25" i="7" s="1"/>
  <c r="L15" i="7"/>
  <c r="B14" i="6"/>
  <c r="B8" i="6" s="1"/>
  <c r="B11" i="6" s="1"/>
  <c r="B12" i="6" s="1"/>
  <c r="C14" i="6"/>
  <c r="C8" i="6" s="1"/>
  <c r="C16" i="8" s="1"/>
  <c r="N15" i="6"/>
  <c r="N14" i="6" s="1"/>
  <c r="N8" i="6" s="1"/>
  <c r="N16" i="8" s="1"/>
  <c r="N30" i="9" s="1"/>
  <c r="L15" i="6"/>
  <c r="L14" i="6" s="1"/>
  <c r="L8" i="6" s="1"/>
  <c r="L16" i="8" s="1"/>
  <c r="L30" i="9" s="1"/>
  <c r="G18" i="5"/>
  <c r="G17" i="5" s="1"/>
  <c r="G11" i="5" s="1"/>
  <c r="H15" i="6"/>
  <c r="H14" i="6" s="1"/>
  <c r="H8" i="6" s="1"/>
  <c r="H4" i="8"/>
  <c r="O21" i="2"/>
  <c r="J15" i="2"/>
  <c r="G4" i="8"/>
  <c r="B13" i="9"/>
  <c r="D12" i="9" s="1"/>
  <c r="O19" i="2"/>
  <c r="F13" i="9"/>
  <c r="F6" i="8"/>
  <c r="E6" i="8"/>
  <c r="J14" i="9"/>
  <c r="K5" i="9"/>
  <c r="K3" i="9" s="1"/>
  <c r="I11" i="9"/>
  <c r="I3" i="9" s="1"/>
  <c r="G30" i="7"/>
  <c r="L2" i="7"/>
  <c r="I8" i="8"/>
  <c r="C70" i="9"/>
  <c r="I61" i="10"/>
  <c r="I69" i="9" s="1"/>
  <c r="B69" i="9"/>
  <c r="H61" i="10"/>
  <c r="H69" i="9" s="1"/>
  <c r="K70" i="9"/>
  <c r="H68" i="9"/>
  <c r="M70" i="9"/>
  <c r="E34" i="10"/>
  <c r="E69" i="9" s="1"/>
  <c r="C24" i="7"/>
  <c r="L14" i="7"/>
  <c r="K61" i="10"/>
  <c r="K69" i="9" s="1"/>
  <c r="H70" i="9"/>
  <c r="G68" i="9"/>
  <c r="L61" i="10"/>
  <c r="L77" i="10" s="1"/>
  <c r="J70" i="9"/>
  <c r="J61" i="10"/>
  <c r="J77" i="10" s="1"/>
  <c r="C69" i="9"/>
  <c r="D69" i="9"/>
  <c r="D77" i="10"/>
  <c r="I70" i="9"/>
  <c r="B70" i="9"/>
  <c r="M69" i="9"/>
  <c r="B77" i="10"/>
  <c r="C77" i="10"/>
  <c r="L70" i="9"/>
  <c r="F70" i="9"/>
  <c r="C64" i="11" s="1"/>
  <c r="C68" i="9"/>
  <c r="J15" i="6"/>
  <c r="J14" i="6" s="1"/>
  <c r="J8" i="6" s="1"/>
  <c r="J11" i="6" s="1"/>
  <c r="J12" i="6" s="1"/>
  <c r="M15" i="6"/>
  <c r="M14" i="6" s="1"/>
  <c r="M8" i="6" s="1"/>
  <c r="M16" i="8" s="1"/>
  <c r="M30" i="9" s="1"/>
  <c r="K15" i="6"/>
  <c r="K14" i="6" s="1"/>
  <c r="K8" i="6" s="1"/>
  <c r="K16" i="8" s="1"/>
  <c r="K30" i="9" s="1"/>
  <c r="N15" i="3"/>
  <c r="N14" i="3" s="1"/>
  <c r="N8" i="3" s="1"/>
  <c r="D16" i="7"/>
  <c r="D20" i="7" s="1"/>
  <c r="F18" i="8" s="1"/>
  <c r="I68" i="9"/>
  <c r="K68" i="9"/>
  <c r="M48" i="10"/>
  <c r="B68" i="9"/>
  <c r="I48" i="10"/>
  <c r="F48" i="10"/>
  <c r="G48" i="10"/>
  <c r="H48" i="10"/>
  <c r="E30" i="7"/>
  <c r="F9" i="7"/>
  <c r="L8" i="8"/>
  <c r="O22" i="6"/>
  <c r="D48" i="10"/>
  <c r="J30" i="7"/>
  <c r="K8" i="8"/>
  <c r="F61" i="10"/>
  <c r="F69" i="9" s="1"/>
  <c r="J68" i="9"/>
  <c r="M8" i="8"/>
  <c r="O3" i="2"/>
  <c r="D13" i="9"/>
  <c r="G8" i="8"/>
  <c r="J9" i="7"/>
  <c r="L20" i="9" s="1"/>
  <c r="I14" i="9"/>
  <c r="D5" i="9"/>
  <c r="D3" i="9" s="1"/>
  <c r="K13" i="9"/>
  <c r="C13" i="9"/>
  <c r="E77" i="10"/>
  <c r="M77" i="10"/>
  <c r="E8" i="8"/>
  <c r="O2" i="5"/>
  <c r="H8" i="8"/>
  <c r="I9" i="7"/>
  <c r="K20" i="9" s="1"/>
  <c r="H30" i="7"/>
  <c r="F24" i="7"/>
  <c r="F30" i="7" s="1"/>
  <c r="H14" i="9"/>
  <c r="H11" i="9"/>
  <c r="H3" i="9" s="1"/>
  <c r="J13" i="9"/>
  <c r="J48" i="10"/>
  <c r="F68" i="9"/>
  <c r="C62" i="11" s="1"/>
  <c r="G70" i="9"/>
  <c r="D70" i="9"/>
  <c r="E9" i="7"/>
  <c r="D9" i="7"/>
  <c r="E10" i="8" s="1"/>
  <c r="F8" i="8"/>
  <c r="C9" i="7"/>
  <c r="D10" i="8" s="1"/>
  <c r="L13" i="9"/>
  <c r="H9" i="7"/>
  <c r="J20" i="9" s="1"/>
  <c r="G14" i="9"/>
  <c r="N5" i="9"/>
  <c r="F5" i="9"/>
  <c r="G11" i="9"/>
  <c r="G3" i="9" s="1"/>
  <c r="I13" i="9"/>
  <c r="B48" i="10"/>
  <c r="K48" i="10"/>
  <c r="M68" i="9"/>
  <c r="E68" i="9"/>
  <c r="N15" i="2"/>
  <c r="N14" i="2" s="1"/>
  <c r="N8" i="2" s="1"/>
  <c r="N12" i="8" s="1"/>
  <c r="N26" i="9" s="1"/>
  <c r="M13" i="9"/>
  <c r="G61" i="10"/>
  <c r="K9" i="7"/>
  <c r="M20" i="9"/>
  <c r="J8" i="8"/>
  <c r="J3" i="8" s="1"/>
  <c r="G9" i="7"/>
  <c r="H10" i="8" s="1"/>
  <c r="G20" i="7"/>
  <c r="F14" i="9"/>
  <c r="M5" i="9"/>
  <c r="M3" i="9" s="1"/>
  <c r="E5" i="9"/>
  <c r="E3" i="9" s="1"/>
  <c r="C48" i="10"/>
  <c r="L48" i="10"/>
  <c r="E3" i="10"/>
  <c r="L68" i="9"/>
  <c r="D68" i="9"/>
  <c r="N34" i="9"/>
  <c r="N40" i="9"/>
  <c r="M34" i="9"/>
  <c r="L34" i="9"/>
  <c r="H40" i="9"/>
  <c r="I40" i="9"/>
  <c r="J40" i="9"/>
  <c r="K34" i="9"/>
  <c r="J34" i="9"/>
  <c r="I34" i="9"/>
  <c r="M40" i="9"/>
  <c r="H34" i="9"/>
  <c r="J80" i="9"/>
  <c r="G80" i="9"/>
  <c r="B80" i="9"/>
  <c r="I80" i="9"/>
  <c r="C80" i="9"/>
  <c r="K80" i="9"/>
  <c r="D80" i="9"/>
  <c r="L80" i="9"/>
  <c r="N80" i="9"/>
  <c r="N67" i="9"/>
  <c r="O80" i="9"/>
  <c r="H80" i="9"/>
  <c r="F80" i="9"/>
  <c r="E80" i="9"/>
  <c r="O67" i="9"/>
  <c r="Q8" i="9"/>
  <c r="Q86" i="9"/>
  <c r="Q6" i="9"/>
  <c r="C21" i="9"/>
  <c r="B17" i="5"/>
  <c r="B11" i="5" s="1"/>
  <c r="B13" i="8" s="1"/>
  <c r="B27" i="9" s="1"/>
  <c r="N17" i="5"/>
  <c r="N11" i="5" s="1"/>
  <c r="Q4" i="9"/>
  <c r="I15" i="6"/>
  <c r="I14" i="6" s="1"/>
  <c r="I8" i="6" s="1"/>
  <c r="W13" i="6"/>
  <c r="H20" i="7"/>
  <c r="E20" i="7"/>
  <c r="I20" i="7"/>
  <c r="K18" i="8" s="1"/>
  <c r="K32" i="9" s="1"/>
  <c r="K20" i="7"/>
  <c r="M18" i="8" s="1"/>
  <c r="M32" i="9" s="1"/>
  <c r="J20" i="7"/>
  <c r="L18" i="8" s="1"/>
  <c r="L32" i="9" s="1"/>
  <c r="O3" i="3"/>
  <c r="C3" i="8"/>
  <c r="O6" i="5"/>
  <c r="D15" i="2"/>
  <c r="D14" i="2" s="1"/>
  <c r="L15" i="2"/>
  <c r="K15" i="2"/>
  <c r="K14" i="2" s="1"/>
  <c r="K8" i="2" s="1"/>
  <c r="P5" i="8"/>
  <c r="B3" i="8"/>
  <c r="L15" i="3"/>
  <c r="L14" i="3" s="1"/>
  <c r="L8" i="3" s="1"/>
  <c r="L14" i="8" s="1"/>
  <c r="O20" i="6"/>
  <c r="I15" i="3"/>
  <c r="I14" i="3" s="1"/>
  <c r="I8" i="3" s="1"/>
  <c r="I14" i="8" s="1"/>
  <c r="E15" i="6"/>
  <c r="F15" i="6"/>
  <c r="F14" i="6" s="1"/>
  <c r="F8" i="6" s="1"/>
  <c r="G15" i="6"/>
  <c r="G14" i="6" s="1"/>
  <c r="G8" i="6" s="1"/>
  <c r="D14" i="6"/>
  <c r="D8" i="6" s="1"/>
  <c r="O3" i="6"/>
  <c r="D17" i="5"/>
  <c r="D11" i="5" s="1"/>
  <c r="C17" i="5"/>
  <c r="C14" i="5" s="1"/>
  <c r="C15" i="5" s="1"/>
  <c r="M18" i="5"/>
  <c r="M17" i="5" s="1"/>
  <c r="M11" i="5" s="1"/>
  <c r="H11" i="5"/>
  <c r="F18" i="5"/>
  <c r="F17" i="5" s="1"/>
  <c r="F11" i="5" s="1"/>
  <c r="E18" i="5"/>
  <c r="E17" i="5" s="1"/>
  <c r="E11" i="5" s="1"/>
  <c r="K18" i="5"/>
  <c r="K17" i="5" s="1"/>
  <c r="K11" i="5" s="1"/>
  <c r="K13" i="8" s="1"/>
  <c r="K27" i="9" s="1"/>
  <c r="L18" i="5"/>
  <c r="L17" i="5" s="1"/>
  <c r="L11" i="5" s="1"/>
  <c r="J18" i="5"/>
  <c r="J17" i="5" s="1"/>
  <c r="J11" i="5" s="1"/>
  <c r="I18" i="5"/>
  <c r="I17" i="5" s="1"/>
  <c r="I11" i="5" s="1"/>
  <c r="W16" i="5"/>
  <c r="O23" i="5"/>
  <c r="O21" i="5"/>
  <c r="W13" i="3"/>
  <c r="G15" i="3"/>
  <c r="G14" i="3" s="1"/>
  <c r="G8" i="3" s="1"/>
  <c r="G14" i="8" s="1"/>
  <c r="C14" i="3"/>
  <c r="C8" i="3" s="1"/>
  <c r="C14" i="8" s="1"/>
  <c r="O19" i="3"/>
  <c r="H15" i="3"/>
  <c r="H14" i="3" s="1"/>
  <c r="H8" i="3" s="1"/>
  <c r="H14" i="8" s="1"/>
  <c r="J15" i="3"/>
  <c r="J14" i="3" s="1"/>
  <c r="J8" i="3" s="1"/>
  <c r="J14" i="8" s="1"/>
  <c r="F15" i="3"/>
  <c r="F14" i="3" s="1"/>
  <c r="F8" i="3" s="1"/>
  <c r="F14" i="8" s="1"/>
  <c r="E15" i="3"/>
  <c r="E14" i="3" s="1"/>
  <c r="E8" i="3" s="1"/>
  <c r="E14" i="8" s="1"/>
  <c r="M15" i="3"/>
  <c r="M14" i="3" s="1"/>
  <c r="M8" i="3" s="1"/>
  <c r="M14" i="8" s="1"/>
  <c r="K15" i="3"/>
  <c r="K14" i="3" s="1"/>
  <c r="K8" i="3" s="1"/>
  <c r="K14" i="8" s="1"/>
  <c r="O21" i="3"/>
  <c r="D14" i="3"/>
  <c r="D8" i="3" s="1"/>
  <c r="D14" i="8" s="1"/>
  <c r="B14" i="3"/>
  <c r="B8" i="3" s="1"/>
  <c r="B14" i="8" s="1"/>
  <c r="M15" i="2"/>
  <c r="M14" i="2" s="1"/>
  <c r="M8" i="2" s="1"/>
  <c r="I15" i="2"/>
  <c r="I14" i="2" s="1"/>
  <c r="I8" i="2" s="1"/>
  <c r="G15" i="2"/>
  <c r="G14" i="2" s="1"/>
  <c r="G8" i="2" s="1"/>
  <c r="L14" i="2"/>
  <c r="L8" i="2" s="1"/>
  <c r="F14" i="2"/>
  <c r="F8" i="2" s="1"/>
  <c r="J14" i="2"/>
  <c r="J8" i="2" s="1"/>
  <c r="E14" i="2"/>
  <c r="E8" i="2" s="1"/>
  <c r="C14" i="2"/>
  <c r="C8" i="2" s="1"/>
  <c r="B14" i="2"/>
  <c r="B8" i="2" s="1"/>
  <c r="B14" i="5" l="1"/>
  <c r="B15" i="5" s="1"/>
  <c r="P8" i="8"/>
  <c r="D3" i="8"/>
  <c r="M3" i="8"/>
  <c r="C30" i="9"/>
  <c r="E12" i="9"/>
  <c r="E21" i="9" s="1"/>
  <c r="K3" i="8"/>
  <c r="C28" i="7"/>
  <c r="L28" i="7" s="1"/>
  <c r="L18" i="7"/>
  <c r="J18" i="8"/>
  <c r="J32" i="9" s="1"/>
  <c r="F10" i="8"/>
  <c r="F3" i="8" s="1"/>
  <c r="I12" i="9"/>
  <c r="I21" i="9" s="1"/>
  <c r="G10" i="8"/>
  <c r="G3" i="8" s="1"/>
  <c r="J12" i="9"/>
  <c r="J21" i="9" s="1"/>
  <c r="B16" i="8"/>
  <c r="B30" i="9" s="1"/>
  <c r="I3" i="8"/>
  <c r="G69" i="9"/>
  <c r="G67" i="9" s="1"/>
  <c r="C94" i="11"/>
  <c r="G18" i="8"/>
  <c r="G32" i="9" s="1"/>
  <c r="C27" i="7"/>
  <c r="L17" i="7"/>
  <c r="C20" i="7"/>
  <c r="E18" i="8" s="1"/>
  <c r="E32" i="9" s="1"/>
  <c r="I20" i="9"/>
  <c r="K12" i="9" s="1"/>
  <c r="K21" i="9" s="1"/>
  <c r="L3" i="8"/>
  <c r="L19" i="7"/>
  <c r="C29" i="7"/>
  <c r="L29" i="7" s="1"/>
  <c r="C11" i="6"/>
  <c r="C12" i="6" s="1"/>
  <c r="D26" i="7"/>
  <c r="D30" i="7" s="1"/>
  <c r="L16" i="7"/>
  <c r="N11" i="2"/>
  <c r="N12" i="2" s="1"/>
  <c r="H3" i="8"/>
  <c r="P4" i="8"/>
  <c r="J16" i="8"/>
  <c r="J30" i="9" s="1"/>
  <c r="L11" i="6"/>
  <c r="L12" i="6" s="1"/>
  <c r="C51" i="11"/>
  <c r="F12" i="9"/>
  <c r="C52" i="11" s="1"/>
  <c r="E3" i="8"/>
  <c r="E48" i="10"/>
  <c r="E79" i="10" s="1"/>
  <c r="L69" i="9"/>
  <c r="L67" i="9" s="1"/>
  <c r="N3" i="9"/>
  <c r="I18" i="8"/>
  <c r="I32" i="9" s="1"/>
  <c r="L9" i="7"/>
  <c r="I77" i="10"/>
  <c r="I79" i="10" s="1"/>
  <c r="B79" i="10"/>
  <c r="H77" i="10"/>
  <c r="H79" i="10" s="1"/>
  <c r="H12" i="9"/>
  <c r="H21" i="9" s="1"/>
  <c r="N12" i="9"/>
  <c r="Q11" i="9"/>
  <c r="B67" i="9"/>
  <c r="C67" i="9"/>
  <c r="H67" i="9"/>
  <c r="C79" i="10"/>
  <c r="J69" i="9"/>
  <c r="J67" i="9" s="1"/>
  <c r="K67" i="9"/>
  <c r="K77" i="10"/>
  <c r="K79" i="10" s="1"/>
  <c r="I67" i="9"/>
  <c r="L79" i="10"/>
  <c r="M79" i="10"/>
  <c r="F77" i="10"/>
  <c r="F79" i="10" s="1"/>
  <c r="J79" i="10"/>
  <c r="D79" i="10"/>
  <c r="N11" i="3"/>
  <c r="N12" i="3" s="1"/>
  <c r="N14" i="8"/>
  <c r="N28" i="9" s="1"/>
  <c r="O12" i="9"/>
  <c r="O21" i="9" s="1"/>
  <c r="F3" i="9"/>
  <c r="G12" i="9"/>
  <c r="G21" i="9" s="1"/>
  <c r="M12" i="9"/>
  <c r="M21" i="9" s="1"/>
  <c r="Q14" i="9"/>
  <c r="L12" i="9"/>
  <c r="L21" i="9" s="1"/>
  <c r="D67" i="9"/>
  <c r="Q68" i="9"/>
  <c r="G77" i="10"/>
  <c r="G79" i="10" s="1"/>
  <c r="Q13" i="9"/>
  <c r="C63" i="11"/>
  <c r="F67" i="9"/>
  <c r="Q15" i="9"/>
  <c r="D28" i="9"/>
  <c r="N11" i="6"/>
  <c r="N12" i="6" s="1"/>
  <c r="M67" i="9"/>
  <c r="L24" i="7"/>
  <c r="O15" i="2"/>
  <c r="O14" i="2" s="1"/>
  <c r="E70" i="9"/>
  <c r="Q34" i="9"/>
  <c r="Q40" i="9"/>
  <c r="D21" i="9"/>
  <c r="Q5" i="9"/>
  <c r="N14" i="5"/>
  <c r="N15" i="5" s="1"/>
  <c r="N13" i="8"/>
  <c r="N27" i="9" s="1"/>
  <c r="E14" i="6"/>
  <c r="E8" i="6" s="1"/>
  <c r="E11" i="6" s="1"/>
  <c r="E12" i="6" s="1"/>
  <c r="O15" i="6"/>
  <c r="O14" i="6" s="1"/>
  <c r="D11" i="6"/>
  <c r="D16" i="8"/>
  <c r="D30" i="9" s="1"/>
  <c r="I11" i="6"/>
  <c r="I12" i="6" s="1"/>
  <c r="I16" i="8"/>
  <c r="I30" i="9" s="1"/>
  <c r="H11" i="6"/>
  <c r="H12" i="6" s="1"/>
  <c r="H16" i="8"/>
  <c r="H30" i="9" s="1"/>
  <c r="M11" i="6"/>
  <c r="M12" i="6" s="1"/>
  <c r="G11" i="6"/>
  <c r="G12" i="6" s="1"/>
  <c r="G16" i="8"/>
  <c r="G30" i="9" s="1"/>
  <c r="K11" i="6"/>
  <c r="K12" i="6" s="1"/>
  <c r="F11" i="6"/>
  <c r="F12" i="6" s="1"/>
  <c r="F16" i="8"/>
  <c r="F30" i="9" s="1"/>
  <c r="P6" i="8"/>
  <c r="G11" i="3"/>
  <c r="G12" i="3" s="1"/>
  <c r="G28" i="9"/>
  <c r="B11" i="3"/>
  <c r="B12" i="3" s="1"/>
  <c r="B28" i="9"/>
  <c r="L11" i="3"/>
  <c r="L12" i="3" s="1"/>
  <c r="L28" i="9"/>
  <c r="E11" i="3"/>
  <c r="E12" i="3" s="1"/>
  <c r="E28" i="9"/>
  <c r="H11" i="3"/>
  <c r="H12" i="3" s="1"/>
  <c r="H28" i="9"/>
  <c r="I11" i="3"/>
  <c r="I12" i="3" s="1"/>
  <c r="I28" i="9"/>
  <c r="K11" i="3"/>
  <c r="K12" i="3" s="1"/>
  <c r="K28" i="9"/>
  <c r="F11" i="3"/>
  <c r="F12" i="3" s="1"/>
  <c r="F28" i="9"/>
  <c r="J11" i="3"/>
  <c r="J12" i="3" s="1"/>
  <c r="J28" i="9"/>
  <c r="M11" i="3"/>
  <c r="M12" i="3" s="1"/>
  <c r="M28" i="9"/>
  <c r="C11" i="3"/>
  <c r="C12" i="3" s="1"/>
  <c r="C28" i="9"/>
  <c r="I14" i="5"/>
  <c r="I15" i="5" s="1"/>
  <c r="I13" i="8"/>
  <c r="I27" i="9" s="1"/>
  <c r="M14" i="5"/>
  <c r="M15" i="5" s="1"/>
  <c r="M13" i="8"/>
  <c r="M27" i="9" s="1"/>
  <c r="J14" i="5"/>
  <c r="J15" i="5" s="1"/>
  <c r="J13" i="8"/>
  <c r="J27" i="9" s="1"/>
  <c r="G14" i="5"/>
  <c r="G15" i="5" s="1"/>
  <c r="G13" i="8"/>
  <c r="G27" i="9" s="1"/>
  <c r="E14" i="5"/>
  <c r="E15" i="5" s="1"/>
  <c r="E13" i="8"/>
  <c r="E27" i="9" s="1"/>
  <c r="F14" i="5"/>
  <c r="F15" i="5" s="1"/>
  <c r="F13" i="8"/>
  <c r="F27" i="9" s="1"/>
  <c r="L14" i="5"/>
  <c r="L15" i="5" s="1"/>
  <c r="L13" i="8"/>
  <c r="L27" i="9" s="1"/>
  <c r="D14" i="5"/>
  <c r="D15" i="5" s="1"/>
  <c r="D13" i="8"/>
  <c r="D27" i="9" s="1"/>
  <c r="H14" i="5"/>
  <c r="H15" i="5" s="1"/>
  <c r="H13" i="8"/>
  <c r="H27" i="9" s="1"/>
  <c r="I11" i="2"/>
  <c r="I12" i="2" s="1"/>
  <c r="I12" i="8"/>
  <c r="I26" i="9" s="1"/>
  <c r="K11" i="2"/>
  <c r="K12" i="2" s="1"/>
  <c r="K12" i="8"/>
  <c r="K26" i="9" s="1"/>
  <c r="M11" i="2"/>
  <c r="M12" i="2" s="1"/>
  <c r="M12" i="8"/>
  <c r="H11" i="2"/>
  <c r="H12" i="2" s="1"/>
  <c r="H12" i="8"/>
  <c r="H26" i="9" s="1"/>
  <c r="J11" i="2"/>
  <c r="J12" i="2" s="1"/>
  <c r="J12" i="8"/>
  <c r="J26" i="9" s="1"/>
  <c r="B11" i="2"/>
  <c r="B12" i="2" s="1"/>
  <c r="B12" i="8"/>
  <c r="B26" i="9" s="1"/>
  <c r="G11" i="2"/>
  <c r="G12" i="2" s="1"/>
  <c r="G12" i="8"/>
  <c r="F11" i="2"/>
  <c r="F12" i="2" s="1"/>
  <c r="F12" i="8"/>
  <c r="F26" i="9" s="1"/>
  <c r="L11" i="2"/>
  <c r="L12" i="2" s="1"/>
  <c r="L12" i="8"/>
  <c r="L26" i="9" s="1"/>
  <c r="C11" i="2"/>
  <c r="C12" i="2" s="1"/>
  <c r="C12" i="8"/>
  <c r="C26" i="9" s="1"/>
  <c r="E11" i="2"/>
  <c r="E12" i="2" s="1"/>
  <c r="E12" i="8"/>
  <c r="E26" i="9" s="1"/>
  <c r="O18" i="5"/>
  <c r="O17" i="5" s="1"/>
  <c r="O11" i="5"/>
  <c r="K14" i="5"/>
  <c r="K15" i="5" s="1"/>
  <c r="O8" i="3"/>
  <c r="O15" i="3"/>
  <c r="O14" i="3" s="1"/>
  <c r="D11" i="3"/>
  <c r="D8" i="2"/>
  <c r="O8" i="2" s="1"/>
  <c r="L26" i="7" l="1"/>
  <c r="L20" i="7"/>
  <c r="P10" i="8"/>
  <c r="N21" i="9"/>
  <c r="C30" i="7"/>
  <c r="L27" i="7"/>
  <c r="Q20" i="9"/>
  <c r="L30" i="7"/>
  <c r="F21" i="9"/>
  <c r="P3" i="8"/>
  <c r="Q69" i="9"/>
  <c r="Q3" i="9"/>
  <c r="P18" i="8"/>
  <c r="E16" i="8"/>
  <c r="E30" i="9" s="1"/>
  <c r="E25" i="9" s="1"/>
  <c r="O8" i="6"/>
  <c r="F32" i="9"/>
  <c r="F25" i="9" s="1"/>
  <c r="F23" i="9" s="1"/>
  <c r="B25" i="9"/>
  <c r="B23" i="9" s="1"/>
  <c r="B21" i="8" s="1"/>
  <c r="N25" i="9"/>
  <c r="N23" i="9" s="1"/>
  <c r="Q12" i="9"/>
  <c r="G11" i="8"/>
  <c r="G19" i="8" s="1"/>
  <c r="G26" i="9"/>
  <c r="G25" i="9" s="1"/>
  <c r="G23" i="9" s="1"/>
  <c r="G21" i="8" s="1"/>
  <c r="K25" i="9"/>
  <c r="K23" i="9" s="1"/>
  <c r="C25" i="9"/>
  <c r="I25" i="9"/>
  <c r="I23" i="9" s="1"/>
  <c r="I21" i="8" s="1"/>
  <c r="J25" i="9"/>
  <c r="J23" i="9" s="1"/>
  <c r="L25" i="9"/>
  <c r="L23" i="9" s="1"/>
  <c r="L21" i="8" s="1"/>
  <c r="M11" i="8"/>
  <c r="M19" i="8" s="1"/>
  <c r="M26" i="9"/>
  <c r="M25" i="9" s="1"/>
  <c r="M23" i="9" s="1"/>
  <c r="M21" i="8" s="1"/>
  <c r="H25" i="9"/>
  <c r="H23" i="9" s="1"/>
  <c r="H21" i="8" s="1"/>
  <c r="D12" i="6"/>
  <c r="O11" i="6"/>
  <c r="O12" i="6" s="1"/>
  <c r="O77" i="9"/>
  <c r="P13" i="8"/>
  <c r="N11" i="8"/>
  <c r="N19" i="8" s="1"/>
  <c r="N20" i="8" s="1"/>
  <c r="K11" i="8"/>
  <c r="K19" i="8" s="1"/>
  <c r="P14" i="8"/>
  <c r="C11" i="8"/>
  <c r="C19" i="8" s="1"/>
  <c r="I11" i="8"/>
  <c r="I19" i="8" s="1"/>
  <c r="H11" i="8"/>
  <c r="H19" i="8" s="1"/>
  <c r="L11" i="8"/>
  <c r="L19" i="8" s="1"/>
  <c r="J11" i="8"/>
  <c r="J19" i="8" s="1"/>
  <c r="F11" i="8"/>
  <c r="F19" i="8" s="1"/>
  <c r="D11" i="2"/>
  <c r="D12" i="8"/>
  <c r="B11" i="8"/>
  <c r="B19" i="8" s="1"/>
  <c r="O14" i="5"/>
  <c r="O15" i="5" s="1"/>
  <c r="O11" i="3"/>
  <c r="O12" i="3" s="1"/>
  <c r="D12" i="3"/>
  <c r="Q21" i="9" l="1"/>
  <c r="N77" i="9"/>
  <c r="N84" i="9" s="1"/>
  <c r="N21" i="8" s="1"/>
  <c r="P16" i="8"/>
  <c r="E11" i="8"/>
  <c r="E19" i="8" s="1"/>
  <c r="E20" i="8" s="1"/>
  <c r="R12" i="9"/>
  <c r="B77" i="9"/>
  <c r="B84" i="9" s="1"/>
  <c r="B91" i="9" s="1"/>
  <c r="G77" i="9"/>
  <c r="G84" i="9" s="1"/>
  <c r="G91" i="9" s="1"/>
  <c r="M77" i="9"/>
  <c r="I77" i="9"/>
  <c r="I84" i="9" s="1"/>
  <c r="I91" i="9" s="1"/>
  <c r="J77" i="9"/>
  <c r="J84" i="9" s="1"/>
  <c r="J91" i="9" s="1"/>
  <c r="J21" i="8"/>
  <c r="K77" i="9"/>
  <c r="K84" i="9" s="1"/>
  <c r="K91" i="9" s="1"/>
  <c r="K21" i="8"/>
  <c r="L77" i="9"/>
  <c r="L84" i="9" s="1"/>
  <c r="L91" i="9" s="1"/>
  <c r="H77" i="9"/>
  <c r="H84" i="9" s="1"/>
  <c r="H91" i="9" s="1"/>
  <c r="F77" i="9"/>
  <c r="F84" i="9" s="1"/>
  <c r="F91" i="9" s="1"/>
  <c r="F21" i="8"/>
  <c r="J20" i="8"/>
  <c r="D12" i="2"/>
  <c r="O11" i="2"/>
  <c r="L20" i="8"/>
  <c r="C23" i="9"/>
  <c r="F20" i="8"/>
  <c r="H20" i="8"/>
  <c r="M20" i="8"/>
  <c r="C20" i="8"/>
  <c r="K20" i="8"/>
  <c r="I20" i="8"/>
  <c r="B20" i="8"/>
  <c r="D11" i="8"/>
  <c r="D19" i="8" s="1"/>
  <c r="D26" i="9"/>
  <c r="D25" i="9" s="1"/>
  <c r="D23" i="9" s="1"/>
  <c r="G20" i="8"/>
  <c r="O84" i="9"/>
  <c r="O91" i="9" s="1"/>
  <c r="P12" i="8"/>
  <c r="N91" i="9" l="1"/>
  <c r="P19" i="8"/>
  <c r="P20" i="8" s="1"/>
  <c r="P11" i="8"/>
  <c r="D77" i="9"/>
  <c r="D84" i="9" s="1"/>
  <c r="D91" i="9" s="1"/>
  <c r="D21" i="8"/>
  <c r="C77" i="9"/>
  <c r="C84" i="9" s="1"/>
  <c r="C91" i="9" s="1"/>
  <c r="C21" i="8"/>
  <c r="D20" i="8"/>
  <c r="Q25" i="9"/>
  <c r="D78" i="9" l="1"/>
  <c r="M82" i="9"/>
  <c r="Q82" i="9" s="1"/>
  <c r="M81" i="9"/>
  <c r="Q70" i="9"/>
  <c r="E67" i="9"/>
  <c r="M80" i="9" l="1"/>
  <c r="Q81" i="9"/>
  <c r="E23" i="9"/>
  <c r="E21" i="8" s="1"/>
  <c r="Q67" i="9"/>
  <c r="Q80" i="9" l="1"/>
  <c r="M84" i="9"/>
  <c r="M91" i="9" s="1"/>
  <c r="E77" i="9"/>
  <c r="E84" i="9" s="1"/>
  <c r="E91" i="9" s="1"/>
  <c r="Q23" i="9"/>
  <c r="E78" i="9" l="1"/>
  <c r="Q77" i="9"/>
  <c r="R77" i="9" l="1"/>
  <c r="T78" i="9"/>
  <c r="F78" i="9"/>
  <c r="G78" i="9" s="1"/>
  <c r="H78" i="9" s="1"/>
  <c r="I78" i="9" s="1"/>
  <c r="J78" i="9" s="1"/>
  <c r="K78" i="9" s="1"/>
  <c r="L78" i="9" s="1"/>
  <c r="M78" i="9" s="1"/>
  <c r="N78" i="9" s="1"/>
  <c r="O78" i="9" s="1"/>
  <c r="Q84" i="9"/>
  <c r="Q91" i="9" s="1"/>
  <c r="R91" i="9" l="1"/>
  <c r="Q95" i="9"/>
  <c r="R84" i="9"/>
  <c r="C24" i="11" l="1"/>
  <c r="C2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Filippe Saba</author>
  </authors>
  <commentList>
    <comment ref="J4" authorId="0" shapeId="0" xr:uid="{BE00327F-5561-7F4E-B5FF-460EF2C62170}">
      <text>
        <r>
          <rPr>
            <b/>
            <sz val="10"/>
            <color rgb="FF000000"/>
            <rFont val="Tahoma"/>
            <family val="2"/>
          </rPr>
          <t>Filippe Saba: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Competencia julho/23
1 salario em agosto
</t>
        </r>
      </text>
    </comment>
    <comment ref="J5" authorId="0" shapeId="0" xr:uid="{7E15617E-5742-D448-9B97-19CD43367C60}">
      <text>
        <r>
          <rPr>
            <b/>
            <sz val="10"/>
            <color rgb="FF000000"/>
            <rFont val="Tahoma"/>
            <family val="2"/>
          </rPr>
          <t>Filippe Saba: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Competencia maio/23 
</t>
        </r>
        <r>
          <rPr>
            <sz val="10"/>
            <color rgb="FF000000"/>
            <rFont val="Tahoma"/>
            <family val="2"/>
          </rPr>
          <t xml:space="preserve">1 salario em junho com esse valor
</t>
        </r>
      </text>
    </comment>
  </commentList>
</comments>
</file>

<file path=xl/sharedStrings.xml><?xml version="1.0" encoding="utf-8"?>
<sst xmlns="http://schemas.openxmlformats.org/spreadsheetml/2006/main" count="1075" uniqueCount="346">
  <si>
    <t>Nome</t>
  </si>
  <si>
    <t>Data de entrada</t>
  </si>
  <si>
    <t>Senioridade</t>
  </si>
  <si>
    <t>Remuneração</t>
  </si>
  <si>
    <t>Valor hora</t>
  </si>
  <si>
    <t>Notebook</t>
  </si>
  <si>
    <t>Valor mensal Notebook</t>
  </si>
  <si>
    <t xml:space="preserve">Skills </t>
  </si>
  <si>
    <t>Allan Patrick De Freitas Santana</t>
  </si>
  <si>
    <t>Pleno</t>
  </si>
  <si>
    <t>React, React native, Node</t>
  </si>
  <si>
    <t>Raphaela Oliveira</t>
  </si>
  <si>
    <t>Junior</t>
  </si>
  <si>
    <t>Product Designer</t>
  </si>
  <si>
    <t>Jose Neto</t>
  </si>
  <si>
    <t>Especialista</t>
  </si>
  <si>
    <t>Backend Java</t>
  </si>
  <si>
    <t>Produto e Gestão</t>
  </si>
  <si>
    <t>Amanda</t>
  </si>
  <si>
    <t>Rafael Panhoca</t>
  </si>
  <si>
    <t>Estagiário</t>
  </si>
  <si>
    <t>Gustavo Rodrigues</t>
  </si>
  <si>
    <t>ReactJS, React Native, Node</t>
  </si>
  <si>
    <t>Matheus Alcatrao</t>
  </si>
  <si>
    <t>Gabriel Paiva</t>
  </si>
  <si>
    <t>Arthur</t>
  </si>
  <si>
    <t xml:space="preserve">TBD - Sócio </t>
  </si>
  <si>
    <t>TBD - Gestão</t>
  </si>
  <si>
    <t>TBD - Product Manager Senior</t>
  </si>
  <si>
    <t>TBD - Product Manager Pleno</t>
  </si>
  <si>
    <t>TBD - Product Designer Senior</t>
  </si>
  <si>
    <t>TBD - Product Designer Pleno</t>
  </si>
  <si>
    <t>TBD - Product Designer Junior</t>
  </si>
  <si>
    <t>TBD - QA Senior</t>
  </si>
  <si>
    <t>TBD - QA Pleno</t>
  </si>
  <si>
    <t>TBD - QA Junior</t>
  </si>
  <si>
    <t>TBD - DevOps</t>
  </si>
  <si>
    <t>TBD - Dev Junior</t>
  </si>
  <si>
    <t>TBD - Dev Pleno</t>
  </si>
  <si>
    <t>TBD - Dev Senior</t>
  </si>
  <si>
    <t>TBD - Especialista</t>
  </si>
  <si>
    <t>TBD - SME</t>
  </si>
  <si>
    <t>PREMISSAS</t>
  </si>
  <si>
    <t>TOTAL</t>
  </si>
  <si>
    <t>RECONHECIMENTO</t>
  </si>
  <si>
    <t>IMPOSTOS</t>
  </si>
  <si>
    <t>CMV (Custo da Mercadoria Vendida)</t>
  </si>
  <si>
    <t>LUCRO (CCI)</t>
  </si>
  <si>
    <t>Desenvolvimento</t>
  </si>
  <si>
    <t>Design</t>
  </si>
  <si>
    <t>Outros custos gerais</t>
  </si>
  <si>
    <t>Cuponi - Fatura</t>
  </si>
  <si>
    <t>Cuponi - Receita liquida</t>
  </si>
  <si>
    <t>Reune - Fatura</t>
  </si>
  <si>
    <t>Reune- Receita liquida</t>
  </si>
  <si>
    <t>Reune</t>
  </si>
  <si>
    <t>Viagens</t>
  </si>
  <si>
    <t>Estacionamento</t>
  </si>
  <si>
    <t>Mani - Produto &amp; Design</t>
  </si>
  <si>
    <t>Mani - Desenvolvedores</t>
  </si>
  <si>
    <t>Mani - Lps</t>
  </si>
  <si>
    <t xml:space="preserve">Vinicius </t>
  </si>
  <si>
    <t>Crefisa+ - Faturamento</t>
  </si>
  <si>
    <t>Crefisa+ - Receita liquida</t>
  </si>
  <si>
    <t xml:space="preserve">Crefisa+ </t>
  </si>
  <si>
    <t>Custo alocado no cliente</t>
  </si>
  <si>
    <t>VPN</t>
  </si>
  <si>
    <t xml:space="preserve"> R$                    -  </t>
  </si>
  <si>
    <t xml:space="preserve"> R$                         -  </t>
  </si>
  <si>
    <t>Geonoma</t>
  </si>
  <si>
    <t>VIP financeira</t>
  </si>
  <si>
    <t>Warren</t>
  </si>
  <si>
    <t xml:space="preserve"> R$                              -  </t>
  </si>
  <si>
    <t>Desenvolvedor - No/low code</t>
  </si>
  <si>
    <t>Aleph</t>
  </si>
  <si>
    <t>Orla Projetos</t>
  </si>
  <si>
    <t>R$</t>
  </si>
  <si>
    <t xml:space="preserve">RECEITA LÍQUIDA </t>
  </si>
  <si>
    <t>CUPONI</t>
  </si>
  <si>
    <t>MANI</t>
  </si>
  <si>
    <t>CREFISA</t>
  </si>
  <si>
    <t>LPs -Aleph</t>
  </si>
  <si>
    <t>(=) LUCRO PROJETOS</t>
  </si>
  <si>
    <t>MARGEM MENSAL</t>
  </si>
  <si>
    <t>Plano de Saúde</t>
  </si>
  <si>
    <t>Escritorio</t>
  </si>
  <si>
    <t>Receita Liquida</t>
  </si>
  <si>
    <t>CUSTOS</t>
  </si>
  <si>
    <t>Orla Operação</t>
  </si>
  <si>
    <t xml:space="preserve">RECEITA (previsão de pagamento) </t>
  </si>
  <si>
    <t>MANIPULAE</t>
  </si>
  <si>
    <t>PIQCOIN</t>
  </si>
  <si>
    <t>IMPOSTO</t>
  </si>
  <si>
    <t>(=) CUSTO TOTAL</t>
  </si>
  <si>
    <t>(=) LUCRO LÍQUIDO</t>
  </si>
  <si>
    <t>SALDO BANCARIO PROJEÇÃO</t>
  </si>
  <si>
    <t>RESERVAS</t>
  </si>
  <si>
    <t>RECESSO</t>
  </si>
  <si>
    <t>BONUS</t>
  </si>
  <si>
    <t>(=) LUCRO LÍQUIDO - RESERVAS</t>
  </si>
  <si>
    <t xml:space="preserve">INVESTIMENTO SÓCIOS </t>
  </si>
  <si>
    <t xml:space="preserve">Kaique </t>
  </si>
  <si>
    <t>Mohamad</t>
  </si>
  <si>
    <t>Saba</t>
  </si>
  <si>
    <t>(=) LUCRO LÍQUIDO - RESERVAS - INVESTIMENTO</t>
  </si>
  <si>
    <t>FATURAMENTO</t>
  </si>
  <si>
    <t>RECEITA LÍQUIDA</t>
  </si>
  <si>
    <t>LPs</t>
  </si>
  <si>
    <t>MARGEM PROJETADA PELO FATURAMENTO</t>
  </si>
  <si>
    <t>(=) CUSTO PESSOAS DESALOCADAS</t>
  </si>
  <si>
    <t>(=) CUSTO OPERACIONAL</t>
  </si>
  <si>
    <t>TFE - Prefeitura Orla Tech</t>
  </si>
  <si>
    <t>TFE - Prefeitura Orla Digital</t>
  </si>
  <si>
    <t>Abertura Empresa Orla Tech</t>
  </si>
  <si>
    <t>INSS</t>
  </si>
  <si>
    <t>Internet</t>
  </si>
  <si>
    <t xml:space="preserve">Contador </t>
  </si>
  <si>
    <t>Dominio valido po 1 ano</t>
  </si>
  <si>
    <t>Figma Licença anual</t>
  </si>
  <si>
    <t>Slack</t>
  </si>
  <si>
    <t>Gsuite</t>
  </si>
  <si>
    <t>Adobe</t>
  </si>
  <si>
    <t>Hostinger</t>
  </si>
  <si>
    <t>Elementor</t>
  </si>
  <si>
    <t>Webflow</t>
  </si>
  <si>
    <t>(=) CUSTO REEMBOLSO</t>
  </si>
  <si>
    <t>Orla REEMBOLSO</t>
  </si>
  <si>
    <t>REEMBOLSO SABA</t>
  </si>
  <si>
    <t>Almoço Crefisa</t>
  </si>
  <si>
    <t>Café Keego</t>
  </si>
  <si>
    <t>Estacionamento crefisa</t>
  </si>
  <si>
    <t>Plugs notebooks</t>
  </si>
  <si>
    <t>Açai</t>
  </si>
  <si>
    <t>Alimentação crefisa</t>
  </si>
  <si>
    <t>Almoço Zmes</t>
  </si>
  <si>
    <t>Almoço funcionarios</t>
  </si>
  <si>
    <t>Almoço Anbima</t>
  </si>
  <si>
    <t>Almoço Anbima Selic</t>
  </si>
  <si>
    <t>REEMBOLSO KAIQUE</t>
  </si>
  <si>
    <t xml:space="preserve">Mateiral escritorio </t>
  </si>
  <si>
    <t>REEMBOLSO MOHAMAD</t>
  </si>
  <si>
    <t>Uber Mani</t>
  </si>
  <si>
    <t>Estacionamento zmes</t>
  </si>
  <si>
    <t>Itens Escritorio</t>
  </si>
  <si>
    <t>Almoço Elgin</t>
  </si>
  <si>
    <t>Limpeza</t>
  </si>
  <si>
    <t>Orla REEMBOLSO PC</t>
  </si>
  <si>
    <t>TOTAL GERAL</t>
  </si>
  <si>
    <t>(-) KAIQUE</t>
  </si>
  <si>
    <t>(-) MOHAMAD</t>
  </si>
  <si>
    <t>(-) SABA</t>
  </si>
  <si>
    <t>(=) CUSTO PROJETOS</t>
  </si>
  <si>
    <t>(=) PRO-LABORE</t>
  </si>
  <si>
    <t>Suporte</t>
  </si>
  <si>
    <t>Pessoas</t>
  </si>
  <si>
    <t>Valor</t>
  </si>
  <si>
    <t>Data de pagamento</t>
  </si>
  <si>
    <t>Mês de competencia</t>
  </si>
  <si>
    <t>Tipo</t>
  </si>
  <si>
    <t xml:space="preserve">Allan </t>
  </si>
  <si>
    <t>Nota</t>
  </si>
  <si>
    <t>Raphaela</t>
  </si>
  <si>
    <t>Transferencia</t>
  </si>
  <si>
    <t>Imposto Orla Digital</t>
  </si>
  <si>
    <t>Boleto</t>
  </si>
  <si>
    <t>Inss Kaique</t>
  </si>
  <si>
    <t>Braptech</t>
  </si>
  <si>
    <t xml:space="preserve">Cartão de Credito </t>
  </si>
  <si>
    <t>Reembolso Kaique</t>
  </si>
  <si>
    <t>Reembolso</t>
  </si>
  <si>
    <t>Reembolso Mohamad</t>
  </si>
  <si>
    <t>Reembolso Saba</t>
  </si>
  <si>
    <t>Prolabore Kaique</t>
  </si>
  <si>
    <t>Pro-labore</t>
  </si>
  <si>
    <t>Matheus - adiantamento</t>
  </si>
  <si>
    <t>Gustavo - adiantamento</t>
  </si>
  <si>
    <t>Imposto Orla Tech</t>
  </si>
  <si>
    <t>Inss Saba</t>
  </si>
  <si>
    <t>Inss Moha</t>
  </si>
  <si>
    <t>Contador Orla Tech</t>
  </si>
  <si>
    <t>Contador Orla Digital</t>
  </si>
  <si>
    <t>clicksign</t>
  </si>
  <si>
    <t>Row Labels</t>
  </si>
  <si>
    <t>Grand Total</t>
  </si>
  <si>
    <t>Sum of Valor</t>
  </si>
  <si>
    <t>Column Labels</t>
  </si>
  <si>
    <t>Mar</t>
  </si>
  <si>
    <t>Apr</t>
  </si>
  <si>
    <t>Neto</t>
  </si>
  <si>
    <t>Paiva</t>
  </si>
  <si>
    <t xml:space="preserve">Gustavo </t>
  </si>
  <si>
    <t>Cliente</t>
  </si>
  <si>
    <t>Cuponi</t>
  </si>
  <si>
    <t>Anbima</t>
  </si>
  <si>
    <t>Crefisa</t>
  </si>
  <si>
    <t>Manipulae</t>
  </si>
  <si>
    <t>Lps</t>
  </si>
  <si>
    <t>Vip Financeira</t>
  </si>
  <si>
    <t>Mês</t>
  </si>
  <si>
    <t>Projeto</t>
  </si>
  <si>
    <t>App</t>
  </si>
  <si>
    <t>Crefisa+</t>
  </si>
  <si>
    <t>Produto &amp; Design</t>
  </si>
  <si>
    <t>Desenvolvedores React</t>
  </si>
  <si>
    <t>Lps Mani</t>
  </si>
  <si>
    <t xml:space="preserve">Institucional </t>
  </si>
  <si>
    <t>Performance</t>
  </si>
  <si>
    <t>Jan</t>
  </si>
  <si>
    <t>Feb</t>
  </si>
  <si>
    <t>Clientes</t>
  </si>
  <si>
    <t>Percentual</t>
  </si>
  <si>
    <t xml:space="preserve">Açai </t>
  </si>
  <si>
    <t>Monday/clickup</t>
  </si>
  <si>
    <t>AWS</t>
  </si>
  <si>
    <t>Café Crefisa</t>
  </si>
  <si>
    <t>Almoço Alice</t>
  </si>
  <si>
    <t>Clicksign</t>
  </si>
  <si>
    <t>Churrasco Rio</t>
  </si>
  <si>
    <t>Café/Almoço Roma</t>
  </si>
  <si>
    <t>Almoço/cafe mani</t>
  </si>
  <si>
    <t>Gustavo Celular</t>
  </si>
  <si>
    <t>Comissão Jordao</t>
  </si>
  <si>
    <t>Comissão Rosh</t>
  </si>
  <si>
    <t>Jantar Crefisa</t>
  </si>
  <si>
    <t>Celular Gustavo</t>
  </si>
  <si>
    <t>Arthur Freela</t>
  </si>
  <si>
    <t>Adiantamento Mateus 2</t>
  </si>
  <si>
    <t>Gabriela Briglia Coni</t>
  </si>
  <si>
    <t>Mateus Chaves</t>
  </si>
  <si>
    <t>Senior</t>
  </si>
  <si>
    <t>Produto e Agilidade</t>
  </si>
  <si>
    <t>Nathan Santos</t>
  </si>
  <si>
    <t>Time</t>
  </si>
  <si>
    <t>Alice Almeida</t>
  </si>
  <si>
    <t>COGNA - KEEGGO</t>
  </si>
  <si>
    <t>Gabriela Coni</t>
  </si>
  <si>
    <t>Fernando</t>
  </si>
  <si>
    <t>Reembolso Amanda</t>
  </si>
  <si>
    <t>React, React Native</t>
  </si>
  <si>
    <t>Matheus Cepil</t>
  </si>
  <si>
    <t>Fernando Jorge</t>
  </si>
  <si>
    <t xml:space="preserve">Mudança societaria </t>
  </si>
  <si>
    <t>estabilizador</t>
  </si>
  <si>
    <t>Advogado</t>
  </si>
  <si>
    <t>mercado</t>
  </si>
  <si>
    <t>Restaurantes</t>
  </si>
  <si>
    <t>Café</t>
  </si>
  <si>
    <t>Passagens</t>
  </si>
  <si>
    <t>Anbima SAÍDA DE DADOS</t>
  </si>
  <si>
    <t>ANBIMA REUNE</t>
  </si>
  <si>
    <t>ANBIMA - REUNE</t>
  </si>
  <si>
    <t>ANBIMA - SAIDA DE DADOS</t>
  </si>
  <si>
    <t>Alteração da empresa</t>
  </si>
  <si>
    <t>Aline Santos</t>
  </si>
  <si>
    <t>Passagens Allan/Arthur</t>
  </si>
  <si>
    <t>Airbnb Allan/Arthur</t>
  </si>
  <si>
    <t>Allan freela</t>
  </si>
  <si>
    <t>PM</t>
  </si>
  <si>
    <t>Dev</t>
  </si>
  <si>
    <t>Designer</t>
  </si>
  <si>
    <t>mês 1</t>
  </si>
  <si>
    <t>mês 2</t>
  </si>
  <si>
    <t>mês 3</t>
  </si>
  <si>
    <t>mês 4</t>
  </si>
  <si>
    <t>mês 5</t>
  </si>
  <si>
    <t>mês 6</t>
  </si>
  <si>
    <t>Prolabore Saba</t>
  </si>
  <si>
    <t>Prolabore Moha</t>
  </si>
  <si>
    <t>Almoço Ache digita</t>
  </si>
  <si>
    <t>TFE Orla Digital</t>
  </si>
  <si>
    <t>TFE Orla Tech</t>
  </si>
  <si>
    <t>Febraban</t>
  </si>
  <si>
    <t>Motoboy</t>
  </si>
  <si>
    <t>conserto do note</t>
  </si>
  <si>
    <t>QA</t>
  </si>
  <si>
    <t>Gestão</t>
  </si>
  <si>
    <t>Manutenção Ar condicionado</t>
  </si>
  <si>
    <t>Manutenção ar</t>
  </si>
  <si>
    <t>Neide</t>
  </si>
  <si>
    <t>Cadeira Escritorio (10x)</t>
  </si>
  <si>
    <t>Fechadura (8x)</t>
  </si>
  <si>
    <t>PC Gustavo (10x)</t>
  </si>
  <si>
    <t>PC ALLAN (10x)</t>
  </si>
  <si>
    <t>PC ARTHUR (10x)</t>
  </si>
  <si>
    <t>Seguros (6x)</t>
  </si>
  <si>
    <t>Pc Paiva (10x)</t>
  </si>
  <si>
    <t>Cadeiras (3x)</t>
  </si>
  <si>
    <t>Mesas (10x)</t>
  </si>
  <si>
    <t>PC Renata (10x)</t>
  </si>
  <si>
    <t>PC Aline (10x)</t>
  </si>
  <si>
    <t>PC Mateus Chaves (10x)</t>
  </si>
  <si>
    <t>Pc Alice (10x)</t>
  </si>
  <si>
    <t>PC Gabi (10x)</t>
  </si>
  <si>
    <t>PC Neto (10x)</t>
  </si>
  <si>
    <t>PC AMANDA (10x)</t>
  </si>
  <si>
    <t>PC RAPHA (10x)</t>
  </si>
  <si>
    <t>PC Alexsandro (10x)</t>
  </si>
  <si>
    <t>PC Jonatham (10x)</t>
  </si>
  <si>
    <t>mês 7</t>
  </si>
  <si>
    <t>ifood para o time (15)</t>
  </si>
  <si>
    <t>Renata Dias</t>
  </si>
  <si>
    <t>Bonus alocado</t>
  </si>
  <si>
    <t>Caique Oliveira</t>
  </si>
  <si>
    <t>Jonatham Gomes</t>
  </si>
  <si>
    <t>Ericsson Teixeira</t>
  </si>
  <si>
    <t>Alexsandro Ramos</t>
  </si>
  <si>
    <t>Pagamento Total</t>
  </si>
  <si>
    <t>aumento 1</t>
  </si>
  <si>
    <t>aumento 2</t>
  </si>
  <si>
    <t>Anbima - Saída de dados</t>
  </si>
  <si>
    <t>Horas</t>
  </si>
  <si>
    <t>-</t>
  </si>
  <si>
    <t>Total</t>
  </si>
  <si>
    <t>Captar - Receita liquida</t>
  </si>
  <si>
    <t xml:space="preserve">Captar </t>
  </si>
  <si>
    <t>Captar</t>
  </si>
  <si>
    <t>Reembolso Gabi</t>
  </si>
  <si>
    <t>estacionamento Febraban</t>
  </si>
  <si>
    <t>Almoço Febraban</t>
  </si>
  <si>
    <t>Estacionamento Anbima</t>
  </si>
  <si>
    <t>q</t>
  </si>
  <si>
    <t>Passagem Arthur/Allan - 3/10</t>
  </si>
  <si>
    <t>Divino Fogão</t>
  </si>
  <si>
    <t>Pecorino</t>
  </si>
  <si>
    <t>Hubees</t>
  </si>
  <si>
    <t>Restaurante</t>
  </si>
  <si>
    <t>Netpark</t>
  </si>
  <si>
    <t>Computador 1 - 1/10</t>
  </si>
  <si>
    <t>Computador 2 - 1/10</t>
  </si>
  <si>
    <t>Assaí - Compras escritório</t>
  </si>
  <si>
    <t>PC Ericsson (10x)</t>
  </si>
  <si>
    <t>Erickson Adiantamento</t>
  </si>
  <si>
    <t>Irmã aleph</t>
  </si>
  <si>
    <t>Churrasco Orla</t>
  </si>
  <si>
    <t>Reembolso Note Nathan</t>
  </si>
  <si>
    <t>Plano de saude</t>
  </si>
  <si>
    <t>Rótulos de Coluna</t>
  </si>
  <si>
    <t>Rótulos de Linha</t>
  </si>
  <si>
    <t>(vazio)</t>
  </si>
  <si>
    <t>Total Geral</t>
  </si>
  <si>
    <t>Reembolso Re</t>
  </si>
  <si>
    <t xml:space="preserve"> 51.305.114/0001-80</t>
  </si>
  <si>
    <t>Reembolso Caique Dev</t>
  </si>
  <si>
    <t>Gabi reembolso</t>
  </si>
  <si>
    <t>Nathan Reembolso PI</t>
  </si>
  <si>
    <t>Adiantamento Erickson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</si>
</sst>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"/>
    <numFmt numFmtId="165" formatCode="_-* #,##0.00_-;\-* #,##0.00_-;_-* &quot;-&quot;??_-;_-@"/>
    <numFmt numFmtId="166" formatCode="#,##0.0;[Red]\-#,##0.0"/>
    <numFmt numFmtId="167" formatCode="_-[$R$-416]\ * #,##0.00_-;\-[$R$-416]\ * #,##0.00_-;_-[$R$-416]\ * &quot;-&quot;??_-;_-@_-"/>
    <numFmt numFmtId="168" formatCode="&quot;R$&quot;\ #,##0.00"/>
    <numFmt numFmtId="169" formatCode="_(* #,##0_);_(* \(#,##0\);_(* &quot;-&quot;??_);_(@_)"/>
    <numFmt numFmtId="170" formatCode="_-&quot;R$&quot;\ * #,##0.0000_-;\-&quot;R$&quot;\ * #,##0.0000_-;_-&quot;R$&quot;\ * &quot;-&quot;??_-;_-@_-"/>
    <numFmt numFmtId="171" formatCode="_(&quot;$&quot;* #,##0.00_);_(&quot;$&quot;* \(#,##0.00\);_(&quot;$&quot;* &quot;-&quot;??_);_(@_)"/>
  </numFmts>
  <fonts count="3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525252"/>
      <name val="Calibri"/>
      <family val="2"/>
    </font>
    <font>
      <sz val="10"/>
      <color rgb="FF525252"/>
      <name val="Calibri"/>
      <family val="2"/>
    </font>
    <font>
      <sz val="11"/>
      <color theme="1"/>
      <name val="Calibri"/>
      <family val="2"/>
    </font>
    <font>
      <sz val="11"/>
      <color rgb="FF525252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 (Body)"/>
    </font>
    <font>
      <b/>
      <sz val="10"/>
      <color theme="1"/>
      <name val="Calibri (Body)"/>
    </font>
    <font>
      <b/>
      <sz val="14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525252"/>
      <name val="Calibri"/>
      <family val="2"/>
      <scheme val="minor"/>
    </font>
    <font>
      <sz val="10"/>
      <color rgb="FF52525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2525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theme="0"/>
      <name val="Calibri"/>
      <family val="2"/>
    </font>
    <font>
      <sz val="8"/>
      <name val="Calibri"/>
      <family val="2"/>
      <scheme val="minor"/>
    </font>
    <font>
      <sz val="10"/>
      <color rgb="FF92D050"/>
      <name val="Calibri"/>
      <family val="2"/>
    </font>
    <font>
      <b/>
      <sz val="12"/>
      <color rgb="FF1E2328"/>
      <name val="Roboto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Lato"/>
    </font>
    <font>
      <b/>
      <sz val="10"/>
      <color theme="1"/>
      <name val="Lato"/>
    </font>
  </fonts>
  <fills count="28">
    <fill>
      <patternFill patternType="none"/>
    </fill>
    <fill>
      <patternFill patternType="gray125"/>
    </fill>
    <fill>
      <patternFill patternType="solid">
        <fgColor rgb="FF3A3838"/>
        <bgColor rgb="FF3A3838"/>
      </patternFill>
    </fill>
    <fill>
      <patternFill patternType="solid">
        <fgColor rgb="FFCCFF99"/>
        <bgColor rgb="FFCCFF99"/>
      </patternFill>
    </fill>
    <fill>
      <patternFill patternType="solid">
        <fgColor rgb="FFEFFFE0"/>
        <bgColor rgb="FFEFFFE0"/>
      </patternFill>
    </fill>
    <fill>
      <patternFill patternType="solid">
        <fgColor rgb="FFFFFF99"/>
        <bgColor rgb="FFFFFF99"/>
      </patternFill>
    </fill>
    <fill>
      <patternFill patternType="solid">
        <fgColor rgb="FFFEFDE0"/>
        <bgColor rgb="FFFEFDE0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rgb="FFD6DCE4"/>
        <bgColor rgb="FFD6DCE4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99"/>
      </patternFill>
    </fill>
    <fill>
      <patternFill patternType="solid">
        <fgColor theme="5" tint="0.59999389629810485"/>
        <bgColor rgb="FFCCFF99"/>
      </patternFill>
    </fill>
    <fill>
      <patternFill patternType="solid">
        <fgColor rgb="FFFFFDCB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92D050"/>
        <bgColor theme="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5A5A5"/>
      </left>
      <right/>
      <top style="thin">
        <color indexed="64"/>
      </top>
      <bottom/>
      <diagonal/>
    </border>
    <border>
      <left style="thin">
        <color rgb="FFA5A5A5"/>
      </left>
      <right/>
      <top/>
      <bottom/>
      <diagonal/>
    </border>
    <border>
      <left style="thin">
        <color rgb="FFA5A5A5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5A5A5"/>
      </left>
      <right style="thin">
        <color indexed="64"/>
      </right>
      <top style="thin">
        <color indexed="64"/>
      </top>
      <bottom/>
      <diagonal/>
    </border>
    <border>
      <left style="thin">
        <color rgb="FFA5A5A5"/>
      </left>
      <right/>
      <top/>
      <bottom style="thin">
        <color indexed="64"/>
      </bottom>
      <diagonal/>
    </border>
    <border>
      <left style="thin">
        <color rgb="FFA5A5A5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2" fillId="0" borderId="0" xfId="0" applyFont="1" applyAlignment="1">
      <alignment vertical="center"/>
    </xf>
    <xf numFmtId="17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vertical="center"/>
    </xf>
    <xf numFmtId="165" fontId="5" fillId="0" borderId="0" xfId="0" applyNumberFormat="1" applyFont="1"/>
    <xf numFmtId="165" fontId="4" fillId="0" borderId="0" xfId="0" applyNumberFormat="1" applyFont="1"/>
    <xf numFmtId="0" fontId="6" fillId="0" borderId="0" xfId="0" applyFont="1"/>
    <xf numFmtId="0" fontId="4" fillId="5" borderId="4" xfId="0" applyFont="1" applyFill="1" applyBorder="1" applyAlignment="1">
      <alignment vertical="center"/>
    </xf>
    <xf numFmtId="10" fontId="4" fillId="6" borderId="4" xfId="0" applyNumberFormat="1" applyFont="1" applyFill="1" applyBorder="1" applyAlignment="1">
      <alignment vertical="center"/>
    </xf>
    <xf numFmtId="0" fontId="7" fillId="0" borderId="0" xfId="0" applyFont="1"/>
    <xf numFmtId="0" fontId="4" fillId="0" borderId="0" xfId="0" applyFont="1"/>
    <xf numFmtId="0" fontId="5" fillId="0" borderId="0" xfId="0" applyFont="1"/>
    <xf numFmtId="0" fontId="5" fillId="6" borderId="4" xfId="0" applyFont="1" applyFill="1" applyBorder="1" applyAlignment="1">
      <alignment vertical="center"/>
    </xf>
    <xf numFmtId="164" fontId="5" fillId="6" borderId="4" xfId="0" applyNumberFormat="1" applyFont="1" applyFill="1" applyBorder="1" applyAlignment="1">
      <alignment vertical="center"/>
    </xf>
    <xf numFmtId="164" fontId="4" fillId="7" borderId="4" xfId="0" applyNumberFormat="1" applyFont="1" applyFill="1" applyBorder="1" applyAlignment="1">
      <alignment vertical="center"/>
    </xf>
    <xf numFmtId="0" fontId="8" fillId="0" borderId="0" xfId="0" applyFont="1"/>
    <xf numFmtId="0" fontId="4" fillId="8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164" fontId="5" fillId="9" borderId="4" xfId="0" applyNumberFormat="1" applyFont="1" applyFill="1" applyBorder="1" applyAlignment="1">
      <alignment vertical="center"/>
    </xf>
    <xf numFmtId="164" fontId="4" fillId="10" borderId="4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center" vertical="center"/>
    </xf>
    <xf numFmtId="164" fontId="11" fillId="5" borderId="4" xfId="0" applyNumberFormat="1" applyFont="1" applyFill="1" applyBorder="1" applyAlignment="1">
      <alignment vertical="center"/>
    </xf>
    <xf numFmtId="168" fontId="12" fillId="0" borderId="0" xfId="0" applyNumberFormat="1" applyFont="1"/>
    <xf numFmtId="168" fontId="12" fillId="0" borderId="2" xfId="0" applyNumberFormat="1" applyFont="1" applyBorder="1" applyAlignment="1">
      <alignment vertical="center"/>
    </xf>
    <xf numFmtId="168" fontId="12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right"/>
    </xf>
    <xf numFmtId="9" fontId="4" fillId="0" borderId="0" xfId="2" applyFont="1" applyAlignment="1">
      <alignment vertical="center"/>
    </xf>
    <xf numFmtId="0" fontId="4" fillId="0" borderId="2" xfId="0" applyFont="1" applyBorder="1" applyAlignment="1">
      <alignment vertical="center"/>
    </xf>
    <xf numFmtId="168" fontId="12" fillId="0" borderId="5" xfId="0" applyNumberFormat="1" applyFont="1" applyBorder="1"/>
    <xf numFmtId="168" fontId="12" fillId="0" borderId="6" xfId="0" applyNumberFormat="1" applyFont="1" applyBorder="1"/>
    <xf numFmtId="168" fontId="12" fillId="0" borderId="7" xfId="0" applyNumberFormat="1" applyFont="1" applyBorder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17" fontId="0" fillId="0" borderId="0" xfId="0" applyNumberFormat="1"/>
    <xf numFmtId="17" fontId="15" fillId="2" borderId="3" xfId="0" applyNumberFormat="1" applyFont="1" applyFill="1" applyBorder="1" applyAlignment="1">
      <alignment horizontal="center" vertical="center"/>
    </xf>
    <xf numFmtId="17" fontId="15" fillId="2" borderId="11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6" fillId="0" borderId="0" xfId="0" applyFont="1"/>
    <xf numFmtId="0" fontId="17" fillId="3" borderId="4" xfId="0" applyFont="1" applyFill="1" applyBorder="1" applyAlignment="1">
      <alignment vertical="center"/>
    </xf>
    <xf numFmtId="164" fontId="17" fillId="3" borderId="4" xfId="0" applyNumberFormat="1" applyFont="1" applyFill="1" applyBorder="1" applyAlignment="1">
      <alignment vertical="center"/>
    </xf>
    <xf numFmtId="0" fontId="18" fillId="4" borderId="4" xfId="0" applyFont="1" applyFill="1" applyBorder="1" applyAlignment="1">
      <alignment vertical="center"/>
    </xf>
    <xf numFmtId="164" fontId="18" fillId="4" borderId="4" xfId="0" applyNumberFormat="1" applyFont="1" applyFill="1" applyBorder="1" applyAlignment="1">
      <alignment vertical="center"/>
    </xf>
    <xf numFmtId="0" fontId="18" fillId="0" borderId="0" xfId="0" applyFont="1"/>
    <xf numFmtId="0" fontId="18" fillId="4" borderId="0" xfId="0" applyFont="1" applyFill="1" applyAlignment="1">
      <alignment vertical="center"/>
    </xf>
    <xf numFmtId="165" fontId="18" fillId="0" borderId="0" xfId="0" applyNumberFormat="1" applyFont="1"/>
    <xf numFmtId="0" fontId="17" fillId="0" borderId="0" xfId="0" applyFont="1"/>
    <xf numFmtId="165" fontId="17" fillId="0" borderId="0" xfId="0" applyNumberFormat="1" applyFont="1"/>
    <xf numFmtId="0" fontId="19" fillId="0" borderId="0" xfId="0" applyFont="1"/>
    <xf numFmtId="0" fontId="17" fillId="5" borderId="4" xfId="0" applyFont="1" applyFill="1" applyBorder="1" applyAlignment="1">
      <alignment vertical="center"/>
    </xf>
    <xf numFmtId="10" fontId="17" fillId="6" borderId="4" xfId="0" applyNumberFormat="1" applyFont="1" applyFill="1" applyBorder="1" applyAlignment="1">
      <alignment vertical="center"/>
    </xf>
    <xf numFmtId="0" fontId="20" fillId="0" borderId="0" xfId="0" applyFont="1"/>
    <xf numFmtId="0" fontId="18" fillId="6" borderId="4" xfId="0" applyFont="1" applyFill="1" applyBorder="1" applyAlignment="1">
      <alignment vertical="center"/>
    </xf>
    <xf numFmtId="164" fontId="18" fillId="6" borderId="4" xfId="0" applyNumberFormat="1" applyFont="1" applyFill="1" applyBorder="1" applyAlignment="1">
      <alignment vertical="center"/>
    </xf>
    <xf numFmtId="164" fontId="17" fillId="7" borderId="4" xfId="0" applyNumberFormat="1" applyFont="1" applyFill="1" applyBorder="1" applyAlignment="1">
      <alignment vertical="center"/>
    </xf>
    <xf numFmtId="0" fontId="18" fillId="6" borderId="0" xfId="0" applyFont="1" applyFill="1" applyAlignment="1">
      <alignment vertical="center"/>
    </xf>
    <xf numFmtId="0" fontId="21" fillId="0" borderId="0" xfId="0" applyFont="1"/>
    <xf numFmtId="0" fontId="17" fillId="8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vertical="center"/>
    </xf>
    <xf numFmtId="164" fontId="18" fillId="9" borderId="4" xfId="0" applyNumberFormat="1" applyFont="1" applyFill="1" applyBorder="1" applyAlignment="1">
      <alignment vertical="center"/>
    </xf>
    <xf numFmtId="164" fontId="17" fillId="10" borderId="4" xfId="0" applyNumberFormat="1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164" fontId="17" fillId="5" borderId="4" xfId="0" applyNumberFormat="1" applyFont="1" applyFill="1" applyBorder="1" applyAlignment="1">
      <alignment vertical="center"/>
    </xf>
    <xf numFmtId="0" fontId="18" fillId="0" borderId="12" xfId="0" applyFont="1" applyBorder="1" applyAlignment="1">
      <alignment horizontal="left"/>
    </xf>
    <xf numFmtId="164" fontId="18" fillId="0" borderId="0" xfId="0" applyNumberFormat="1" applyFont="1"/>
    <xf numFmtId="0" fontId="18" fillId="0" borderId="13" xfId="0" applyFont="1" applyBorder="1" applyAlignment="1">
      <alignment horizontal="left"/>
    </xf>
    <xf numFmtId="167" fontId="21" fillId="0" borderId="0" xfId="0" applyNumberFormat="1" applyFont="1"/>
    <xf numFmtId="0" fontId="24" fillId="2" borderId="14" xfId="0" applyFont="1" applyFill="1" applyBorder="1" applyAlignment="1">
      <alignment vertical="center"/>
    </xf>
    <xf numFmtId="17" fontId="3" fillId="2" borderId="15" xfId="0" applyNumberFormat="1" applyFont="1" applyFill="1" applyBorder="1" applyAlignment="1">
      <alignment horizontal="center" vertical="center"/>
    </xf>
    <xf numFmtId="17" fontId="3" fillId="2" borderId="8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8" fillId="11" borderId="1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vertical="center"/>
    </xf>
    <xf numFmtId="0" fontId="5" fillId="12" borderId="10" xfId="0" applyFont="1" applyFill="1" applyBorder="1" applyAlignment="1">
      <alignment horizontal="left" vertical="center"/>
    </xf>
    <xf numFmtId="38" fontId="5" fillId="12" borderId="16" xfId="0" applyNumberFormat="1" applyFont="1" applyFill="1" applyBorder="1" applyAlignment="1">
      <alignment horizontal="center" vertical="center"/>
    </xf>
    <xf numFmtId="38" fontId="5" fillId="12" borderId="2" xfId="0" applyNumberFormat="1" applyFont="1" applyFill="1" applyBorder="1" applyAlignment="1">
      <alignment horizontal="center" vertical="center"/>
    </xf>
    <xf numFmtId="38" fontId="5" fillId="12" borderId="0" xfId="0" applyNumberFormat="1" applyFont="1" applyFill="1" applyAlignment="1">
      <alignment horizontal="center" vertical="center"/>
    </xf>
    <xf numFmtId="0" fontId="4" fillId="5" borderId="10" xfId="0" applyFont="1" applyFill="1" applyBorder="1" applyAlignment="1">
      <alignment vertical="center"/>
    </xf>
    <xf numFmtId="0" fontId="3" fillId="13" borderId="10" xfId="0" applyFont="1" applyFill="1" applyBorder="1" applyAlignment="1">
      <alignment horizontal="left" vertical="center"/>
    </xf>
    <xf numFmtId="38" fontId="5" fillId="12" borderId="0" xfId="0" applyNumberFormat="1" applyFont="1" applyFill="1" applyAlignment="1">
      <alignment vertical="center"/>
    </xf>
    <xf numFmtId="3" fontId="5" fillId="14" borderId="10" xfId="0" applyNumberFormat="1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164" fontId="18" fillId="4" borderId="0" xfId="0" applyNumberFormat="1" applyFont="1" applyFill="1" applyAlignment="1">
      <alignment vertical="center"/>
    </xf>
    <xf numFmtId="164" fontId="17" fillId="3" borderId="0" xfId="0" applyNumberFormat="1" applyFont="1" applyFill="1" applyAlignment="1">
      <alignment vertical="center"/>
    </xf>
    <xf numFmtId="17" fontId="3" fillId="2" borderId="0" xfId="0" applyNumberFormat="1" applyFont="1" applyFill="1" applyAlignment="1">
      <alignment horizontal="center" vertical="center"/>
    </xf>
    <xf numFmtId="165" fontId="10" fillId="11" borderId="0" xfId="0" applyNumberFormat="1" applyFont="1" applyFill="1" applyAlignment="1">
      <alignment horizontal="center" vertical="center"/>
    </xf>
    <xf numFmtId="165" fontId="10" fillId="11" borderId="14" xfId="0" applyNumberFormat="1" applyFont="1" applyFill="1" applyBorder="1" applyAlignment="1">
      <alignment horizontal="center" vertical="center"/>
    </xf>
    <xf numFmtId="165" fontId="10" fillId="11" borderId="18" xfId="0" applyNumberFormat="1" applyFont="1" applyFill="1" applyBorder="1" applyAlignment="1">
      <alignment horizontal="center" vertical="center"/>
    </xf>
    <xf numFmtId="165" fontId="10" fillId="11" borderId="19" xfId="0" applyNumberFormat="1" applyFont="1" applyFill="1" applyBorder="1" applyAlignment="1">
      <alignment horizontal="center" vertical="center"/>
    </xf>
    <xf numFmtId="38" fontId="5" fillId="12" borderId="10" xfId="0" applyNumberFormat="1" applyFont="1" applyFill="1" applyBorder="1" applyAlignment="1">
      <alignment horizontal="center" vertical="center"/>
    </xf>
    <xf numFmtId="38" fontId="5" fillId="12" borderId="20" xfId="0" applyNumberFormat="1" applyFont="1" applyFill="1" applyBorder="1" applyAlignment="1">
      <alignment horizontal="center" vertical="center"/>
    </xf>
    <xf numFmtId="9" fontId="3" fillId="13" borderId="21" xfId="2" applyFont="1" applyFill="1" applyBorder="1" applyAlignment="1">
      <alignment horizontal="center" vertical="center"/>
    </xf>
    <xf numFmtId="9" fontId="3" fillId="13" borderId="22" xfId="2" applyFont="1" applyFill="1" applyBorder="1" applyAlignment="1">
      <alignment horizontal="center" vertical="center"/>
    </xf>
    <xf numFmtId="38" fontId="4" fillId="3" borderId="5" xfId="0" applyNumberFormat="1" applyFont="1" applyFill="1" applyBorder="1" applyAlignment="1">
      <alignment horizontal="center" vertical="center"/>
    </xf>
    <xf numFmtId="38" fontId="4" fillId="3" borderId="6" xfId="0" applyNumberFormat="1" applyFont="1" applyFill="1" applyBorder="1" applyAlignment="1">
      <alignment horizontal="center" vertical="center"/>
    </xf>
    <xf numFmtId="38" fontId="4" fillId="3" borderId="7" xfId="0" applyNumberFormat="1" applyFont="1" applyFill="1" applyBorder="1" applyAlignment="1">
      <alignment horizontal="center" vertical="center"/>
    </xf>
    <xf numFmtId="38" fontId="4" fillId="5" borderId="5" xfId="0" applyNumberFormat="1" applyFont="1" applyFill="1" applyBorder="1" applyAlignment="1">
      <alignment horizontal="center" vertical="center"/>
    </xf>
    <xf numFmtId="17" fontId="3" fillId="2" borderId="24" xfId="0" applyNumberFormat="1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165" fontId="3" fillId="1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38" fontId="4" fillId="3" borderId="1" xfId="0" applyNumberFormat="1" applyFont="1" applyFill="1" applyBorder="1" applyAlignment="1">
      <alignment horizontal="center" vertical="center"/>
    </xf>
    <xf numFmtId="38" fontId="5" fillId="12" borderId="8" xfId="0" applyNumberFormat="1" applyFont="1" applyFill="1" applyBorder="1" applyAlignment="1">
      <alignment horizontal="center" vertical="center"/>
    </xf>
    <xf numFmtId="38" fontId="5" fillId="12" borderId="9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38" fontId="4" fillId="5" borderId="1" xfId="0" applyNumberFormat="1" applyFont="1" applyFill="1" applyBorder="1" applyAlignment="1">
      <alignment horizontal="center" vertical="center"/>
    </xf>
    <xf numFmtId="38" fontId="4" fillId="5" borderId="1" xfId="0" applyNumberFormat="1" applyFont="1" applyFill="1" applyBorder="1" applyAlignment="1">
      <alignment horizontal="left" vertical="center"/>
    </xf>
    <xf numFmtId="0" fontId="4" fillId="15" borderId="10" xfId="0" applyFont="1" applyFill="1" applyBorder="1" applyAlignment="1">
      <alignment vertical="center"/>
    </xf>
    <xf numFmtId="38" fontId="4" fillId="15" borderId="2" xfId="0" applyNumberFormat="1" applyFont="1" applyFill="1" applyBorder="1" applyAlignment="1">
      <alignment horizontal="center" vertical="center"/>
    </xf>
    <xf numFmtId="9" fontId="4" fillId="3" borderId="1" xfId="2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vertical="center"/>
    </xf>
    <xf numFmtId="0" fontId="4" fillId="15" borderId="2" xfId="0" applyFont="1" applyFill="1" applyBorder="1" applyAlignment="1">
      <alignment vertical="center"/>
    </xf>
    <xf numFmtId="38" fontId="0" fillId="0" borderId="0" xfId="0" applyNumberFormat="1"/>
    <xf numFmtId="169" fontId="4" fillId="16" borderId="5" xfId="0" applyNumberFormat="1" applyFont="1" applyFill="1" applyBorder="1" applyAlignment="1">
      <alignment vertical="center"/>
    </xf>
    <xf numFmtId="38" fontId="4" fillId="16" borderId="1" xfId="0" applyNumberFormat="1" applyFont="1" applyFill="1" applyBorder="1" applyAlignment="1">
      <alignment horizontal="center" vertical="center"/>
    </xf>
    <xf numFmtId="38" fontId="4" fillId="16" borderId="6" xfId="0" applyNumberFormat="1" applyFont="1" applyFill="1" applyBorder="1" applyAlignment="1">
      <alignment horizontal="center" vertical="center"/>
    </xf>
    <xf numFmtId="165" fontId="4" fillId="16" borderId="1" xfId="0" applyNumberFormat="1" applyFont="1" applyFill="1" applyBorder="1" applyAlignment="1">
      <alignment horizontal="center" vertical="center"/>
    </xf>
    <xf numFmtId="38" fontId="5" fillId="12" borderId="14" xfId="0" applyNumberFormat="1" applyFont="1" applyFill="1" applyBorder="1" applyAlignment="1">
      <alignment horizontal="center" vertical="center"/>
    </xf>
    <xf numFmtId="38" fontId="5" fillId="12" borderId="24" xfId="0" applyNumberFormat="1" applyFont="1" applyFill="1" applyBorder="1" applyAlignment="1">
      <alignment horizontal="center" vertical="center"/>
    </xf>
    <xf numFmtId="38" fontId="5" fillId="12" borderId="17" xfId="0" applyNumberFormat="1" applyFont="1" applyFill="1" applyBorder="1" applyAlignment="1">
      <alignment horizontal="center" vertical="center"/>
    </xf>
    <xf numFmtId="3" fontId="5" fillId="14" borderId="21" xfId="0" applyNumberFormat="1" applyFont="1" applyFill="1" applyBorder="1" applyAlignment="1">
      <alignment horizontal="left" vertical="center"/>
    </xf>
    <xf numFmtId="38" fontId="5" fillId="12" borderId="25" xfId="0" applyNumberFormat="1" applyFont="1" applyFill="1" applyBorder="1" applyAlignment="1">
      <alignment horizontal="center" vertical="center"/>
    </xf>
    <xf numFmtId="38" fontId="5" fillId="12" borderId="21" xfId="0" applyNumberFormat="1" applyFont="1" applyFill="1" applyBorder="1" applyAlignment="1">
      <alignment horizontal="center" vertical="center"/>
    </xf>
    <xf numFmtId="38" fontId="5" fillId="12" borderId="26" xfId="0" applyNumberFormat="1" applyFont="1" applyFill="1" applyBorder="1" applyAlignment="1">
      <alignment horizontal="center" vertical="center"/>
    </xf>
    <xf numFmtId="38" fontId="5" fillId="12" borderId="23" xfId="0" applyNumberFormat="1" applyFont="1" applyFill="1" applyBorder="1" applyAlignment="1">
      <alignment horizontal="center" vertical="center"/>
    </xf>
    <xf numFmtId="9" fontId="8" fillId="0" borderId="0" xfId="2" applyFont="1" applyAlignment="1">
      <alignment vertical="center"/>
    </xf>
    <xf numFmtId="0" fontId="5" fillId="1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24" fillId="2" borderId="8" xfId="0" applyFont="1" applyFill="1" applyBorder="1" applyAlignment="1">
      <alignment vertical="center"/>
    </xf>
    <xf numFmtId="17" fontId="3" fillId="2" borderId="18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40" fontId="5" fillId="12" borderId="20" xfId="0" applyNumberFormat="1" applyFont="1" applyFill="1" applyBorder="1" applyAlignment="1">
      <alignment horizontal="center" vertical="center"/>
    </xf>
    <xf numFmtId="40" fontId="0" fillId="0" borderId="0" xfId="0" applyNumberFormat="1"/>
    <xf numFmtId="0" fontId="5" fillId="12" borderId="9" xfId="0" applyFont="1" applyFill="1" applyBorder="1" applyAlignment="1">
      <alignment horizontal="left" vertical="center"/>
    </xf>
    <xf numFmtId="38" fontId="5" fillId="12" borderId="22" xfId="0" applyNumberFormat="1" applyFont="1" applyFill="1" applyBorder="1" applyAlignment="1">
      <alignment horizontal="center" vertical="center"/>
    </xf>
    <xf numFmtId="40" fontId="5" fillId="12" borderId="10" xfId="0" applyNumberFormat="1" applyFont="1" applyFill="1" applyBorder="1" applyAlignment="1">
      <alignment horizontal="center" vertical="center"/>
    </xf>
    <xf numFmtId="40" fontId="5" fillId="12" borderId="8" xfId="0" applyNumberFormat="1" applyFont="1" applyFill="1" applyBorder="1" applyAlignment="1">
      <alignment horizontal="center" vertical="center"/>
    </xf>
    <xf numFmtId="40" fontId="5" fillId="12" borderId="0" xfId="0" applyNumberFormat="1" applyFont="1" applyFill="1" applyAlignment="1">
      <alignment horizontal="center" vertical="center"/>
    </xf>
    <xf numFmtId="40" fontId="5" fillId="12" borderId="19" xfId="0" applyNumberFormat="1" applyFont="1" applyFill="1" applyBorder="1" applyAlignment="1">
      <alignment horizontal="center" vertical="center"/>
    </xf>
    <xf numFmtId="40" fontId="5" fillId="12" borderId="2" xfId="0" applyNumberFormat="1" applyFont="1" applyFill="1" applyBorder="1" applyAlignment="1">
      <alignment horizontal="center" vertical="center"/>
    </xf>
    <xf numFmtId="40" fontId="5" fillId="12" borderId="21" xfId="0" applyNumberFormat="1" applyFont="1" applyFill="1" applyBorder="1" applyAlignment="1">
      <alignment horizontal="center" vertical="center"/>
    </xf>
    <xf numFmtId="40" fontId="5" fillId="12" borderId="9" xfId="0" applyNumberFormat="1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left" vertical="center"/>
    </xf>
    <xf numFmtId="0" fontId="5" fillId="12" borderId="21" xfId="0" applyFont="1" applyFill="1" applyBorder="1" applyAlignment="1">
      <alignment horizontal="left" vertical="center"/>
    </xf>
    <xf numFmtId="38" fontId="4" fillId="17" borderId="1" xfId="0" applyNumberFormat="1" applyFont="1" applyFill="1" applyBorder="1" applyAlignment="1">
      <alignment horizontal="left" vertical="center"/>
    </xf>
    <xf numFmtId="38" fontId="4" fillId="17" borderId="1" xfId="0" applyNumberFormat="1" applyFont="1" applyFill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1" xfId="0" applyBorder="1" applyAlignment="1">
      <alignment horizontal="center"/>
    </xf>
    <xf numFmtId="17" fontId="0" fillId="0" borderId="1" xfId="0" applyNumberFormat="1" applyBorder="1"/>
    <xf numFmtId="8" fontId="0" fillId="0" borderId="1" xfId="0" applyNumberFormat="1" applyBorder="1"/>
    <xf numFmtId="0" fontId="0" fillId="18" borderId="1" xfId="0" applyFill="1" applyBorder="1" applyAlignment="1">
      <alignment horizontal="left"/>
    </xf>
    <xf numFmtId="0" fontId="0" fillId="18" borderId="1" xfId="0" applyFill="1" applyBorder="1" applyAlignment="1">
      <alignment horizontal="center"/>
    </xf>
    <xf numFmtId="0" fontId="0" fillId="0" borderId="0" xfId="0" applyAlignment="1">
      <alignment horizontal="left" indent="1"/>
    </xf>
    <xf numFmtId="8" fontId="0" fillId="0" borderId="0" xfId="0" applyNumberFormat="1"/>
    <xf numFmtId="9" fontId="0" fillId="0" borderId="1" xfId="2" applyFont="1" applyBorder="1"/>
    <xf numFmtId="7" fontId="0" fillId="0" borderId="0" xfId="0" applyNumberFormat="1"/>
    <xf numFmtId="38" fontId="4" fillId="5" borderId="21" xfId="0" applyNumberFormat="1" applyFont="1" applyFill="1" applyBorder="1" applyAlignment="1">
      <alignment horizontal="center" vertical="center"/>
    </xf>
    <xf numFmtId="38" fontId="4" fillId="5" borderId="22" xfId="0" applyNumberFormat="1" applyFont="1" applyFill="1" applyBorder="1" applyAlignment="1">
      <alignment horizontal="center" vertical="center"/>
    </xf>
    <xf numFmtId="38" fontId="4" fillId="5" borderId="23" xfId="0" applyNumberFormat="1" applyFont="1" applyFill="1" applyBorder="1" applyAlignment="1">
      <alignment horizontal="center" vertical="center"/>
    </xf>
    <xf numFmtId="38" fontId="5" fillId="12" borderId="18" xfId="0" applyNumberFormat="1" applyFont="1" applyFill="1" applyBorder="1" applyAlignment="1">
      <alignment horizontal="center" vertical="center"/>
    </xf>
    <xf numFmtId="38" fontId="5" fillId="12" borderId="19" xfId="0" applyNumberFormat="1" applyFont="1" applyFill="1" applyBorder="1" applyAlignment="1">
      <alignment horizontal="center" vertical="center"/>
    </xf>
    <xf numFmtId="9" fontId="3" fillId="13" borderId="1" xfId="2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38" fontId="4" fillId="15" borderId="8" xfId="0" applyNumberFormat="1" applyFont="1" applyFill="1" applyBorder="1" applyAlignment="1">
      <alignment horizontal="center" vertical="center"/>
    </xf>
    <xf numFmtId="38" fontId="4" fillId="15" borderId="9" xfId="0" applyNumberFormat="1" applyFont="1" applyFill="1" applyBorder="1" applyAlignment="1">
      <alignment horizontal="center" vertical="center"/>
    </xf>
    <xf numFmtId="38" fontId="26" fillId="12" borderId="10" xfId="0" applyNumberFormat="1" applyFont="1" applyFill="1" applyBorder="1" applyAlignment="1">
      <alignment horizontal="center" vertical="center"/>
    </xf>
    <xf numFmtId="38" fontId="26" fillId="0" borderId="10" xfId="0" applyNumberFormat="1" applyFont="1" applyBorder="1" applyAlignment="1">
      <alignment horizontal="center" vertical="center"/>
    </xf>
    <xf numFmtId="38" fontId="5" fillId="0" borderId="10" xfId="0" applyNumberFormat="1" applyFont="1" applyBorder="1" applyAlignment="1">
      <alignment horizontal="center" vertical="center"/>
    </xf>
    <xf numFmtId="0" fontId="5" fillId="19" borderId="2" xfId="0" applyFont="1" applyFill="1" applyBorder="1" applyAlignment="1">
      <alignment horizontal="left" vertical="center"/>
    </xf>
    <xf numFmtId="7" fontId="0" fillId="0" borderId="0" xfId="1" applyNumberFormat="1" applyFont="1"/>
    <xf numFmtId="168" fontId="0" fillId="0" borderId="0" xfId="0" applyNumberFormat="1"/>
    <xf numFmtId="168" fontId="12" fillId="0" borderId="20" xfId="0" applyNumberFormat="1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38" fontId="4" fillId="17" borderId="8" xfId="0" applyNumberFormat="1" applyFont="1" applyFill="1" applyBorder="1" applyAlignment="1">
      <alignment horizontal="center" vertical="center"/>
    </xf>
    <xf numFmtId="38" fontId="4" fillId="17" borderId="9" xfId="0" applyNumberFormat="1" applyFont="1" applyFill="1" applyBorder="1" applyAlignment="1">
      <alignment horizontal="center" vertical="center"/>
    </xf>
    <xf numFmtId="168" fontId="12" fillId="0" borderId="8" xfId="0" applyNumberFormat="1" applyFont="1" applyBorder="1" applyAlignment="1">
      <alignment vertical="center"/>
    </xf>
    <xf numFmtId="44" fontId="16" fillId="0" borderId="0" xfId="0" applyNumberFormat="1" applyFont="1" applyAlignment="1">
      <alignment horizontal="center"/>
    </xf>
    <xf numFmtId="170" fontId="0" fillId="0" borderId="0" xfId="0" applyNumberFormat="1"/>
    <xf numFmtId="7" fontId="0" fillId="20" borderId="0" xfId="0" applyNumberFormat="1" applyFill="1"/>
    <xf numFmtId="2" fontId="0" fillId="0" borderId="0" xfId="1" applyNumberFormat="1" applyFont="1"/>
    <xf numFmtId="2" fontId="0" fillId="0" borderId="0" xfId="0" applyNumberFormat="1"/>
    <xf numFmtId="0" fontId="5" fillId="21" borderId="2" xfId="0" applyFont="1" applyFill="1" applyBorder="1" applyAlignment="1">
      <alignment horizontal="left" vertical="center"/>
    </xf>
    <xf numFmtId="0" fontId="5" fillId="21" borderId="9" xfId="0" applyFont="1" applyFill="1" applyBorder="1" applyAlignment="1">
      <alignment horizontal="left" vertical="center"/>
    </xf>
    <xf numFmtId="40" fontId="5" fillId="21" borderId="2" xfId="0" applyNumberFormat="1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left" vertical="center"/>
    </xf>
    <xf numFmtId="38" fontId="5" fillId="21" borderId="2" xfId="0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27" fillId="0" borderId="0" xfId="0" applyFont="1"/>
    <xf numFmtId="0" fontId="0" fillId="23" borderId="0" xfId="0" applyFill="1"/>
    <xf numFmtId="0" fontId="0" fillId="18" borderId="0" xfId="0" applyFill="1"/>
    <xf numFmtId="0" fontId="30" fillId="24" borderId="1" xfId="0" applyFont="1" applyFill="1" applyBorder="1" applyAlignment="1">
      <alignment horizontal="center"/>
    </xf>
    <xf numFmtId="17" fontId="30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44" fontId="0" fillId="0" borderId="1" xfId="1" applyFont="1" applyBorder="1"/>
    <xf numFmtId="17" fontId="31" fillId="0" borderId="1" xfId="0" applyNumberFormat="1" applyFont="1" applyBorder="1" applyAlignment="1">
      <alignment horizontal="left"/>
    </xf>
    <xf numFmtId="44" fontId="31" fillId="0" borderId="1" xfId="1" applyFont="1" applyBorder="1"/>
    <xf numFmtId="0" fontId="31" fillId="0" borderId="1" xfId="0" applyFont="1" applyBorder="1" applyAlignment="1">
      <alignment horizontal="center"/>
    </xf>
    <xf numFmtId="0" fontId="30" fillId="25" borderId="1" xfId="0" applyFont="1" applyFill="1" applyBorder="1" applyAlignment="1">
      <alignment horizontal="center"/>
    </xf>
    <xf numFmtId="44" fontId="0" fillId="25" borderId="1" xfId="0" applyNumberFormat="1" applyFill="1" applyBorder="1"/>
    <xf numFmtId="1" fontId="0" fillId="25" borderId="1" xfId="0" applyNumberFormat="1" applyFill="1" applyBorder="1" applyAlignment="1">
      <alignment horizontal="center"/>
    </xf>
    <xf numFmtId="38" fontId="4" fillId="5" borderId="8" xfId="0" applyNumberFormat="1" applyFont="1" applyFill="1" applyBorder="1" applyAlignment="1">
      <alignment horizontal="center" vertical="center"/>
    </xf>
    <xf numFmtId="38" fontId="4" fillId="3" borderId="9" xfId="0" applyNumberFormat="1" applyFont="1" applyFill="1" applyBorder="1" applyAlignment="1">
      <alignment horizontal="center" vertical="center"/>
    </xf>
    <xf numFmtId="0" fontId="33" fillId="0" borderId="1" xfId="0" applyFont="1" applyBorder="1"/>
    <xf numFmtId="44" fontId="33" fillId="0" borderId="1" xfId="1" applyFont="1" applyBorder="1" applyAlignment="1"/>
    <xf numFmtId="0" fontId="34" fillId="0" borderId="1" xfId="0" applyFont="1" applyBorder="1"/>
    <xf numFmtId="44" fontId="34" fillId="0" borderId="1" xfId="1" applyFont="1" applyBorder="1" applyAlignment="1"/>
    <xf numFmtId="0" fontId="35" fillId="0" borderId="1" xfId="0" applyFont="1" applyBorder="1"/>
    <xf numFmtId="171" fontId="32" fillId="0" borderId="1" xfId="0" applyNumberFormat="1" applyFont="1" applyBorder="1"/>
    <xf numFmtId="7" fontId="0" fillId="23" borderId="0" xfId="0" applyNumberFormat="1" applyFill="1"/>
    <xf numFmtId="40" fontId="5" fillId="26" borderId="20" xfId="0" applyNumberFormat="1" applyFont="1" applyFill="1" applyBorder="1" applyAlignment="1">
      <alignment horizontal="center" vertical="center"/>
    </xf>
    <xf numFmtId="38" fontId="5" fillId="26" borderId="20" xfId="0" applyNumberFormat="1" applyFont="1" applyFill="1" applyBorder="1" applyAlignment="1">
      <alignment horizontal="center" vertical="center"/>
    </xf>
    <xf numFmtId="38" fontId="5" fillId="26" borderId="2" xfId="0" applyNumberFormat="1" applyFont="1" applyFill="1" applyBorder="1" applyAlignment="1">
      <alignment horizontal="center" vertical="center"/>
    </xf>
    <xf numFmtId="38" fontId="5" fillId="26" borderId="9" xfId="0" applyNumberFormat="1" applyFont="1" applyFill="1" applyBorder="1" applyAlignment="1">
      <alignment horizontal="center" vertical="center"/>
    </xf>
    <xf numFmtId="38" fontId="5" fillId="26" borderId="8" xfId="0" applyNumberFormat="1" applyFont="1" applyFill="1" applyBorder="1" applyAlignment="1">
      <alignment horizontal="center" vertical="center"/>
    </xf>
    <xf numFmtId="38" fontId="5" fillId="26" borderId="0" xfId="0" applyNumberFormat="1" applyFont="1" applyFill="1" applyAlignment="1">
      <alignment horizontal="center" vertical="center"/>
    </xf>
    <xf numFmtId="38" fontId="5" fillId="26" borderId="22" xfId="0" applyNumberFormat="1" applyFont="1" applyFill="1" applyBorder="1" applyAlignment="1">
      <alignment horizontal="center" vertical="center"/>
    </xf>
    <xf numFmtId="38" fontId="5" fillId="27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10" fontId="0" fillId="0" borderId="0" xfId="2" applyNumberFormat="1" applyFont="1"/>
    <xf numFmtId="0" fontId="30" fillId="18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78">
    <dxf>
      <numFmt numFmtId="12" formatCode="&quot;R$&quot;\ #,##0.00;[Red]\-&quot;R$&quot;\ 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1" formatCode="&quot;R$&quot;\ #,##0.00;\-&quot;R$&quot;\ #,##0.00"/>
    </dxf>
    <dxf>
      <numFmt numFmtId="172" formatCode="dd/mm/yy"/>
    </dxf>
    <dxf>
      <numFmt numFmtId="172" formatCode="dd/mm/yy"/>
    </dxf>
  </dxfs>
  <tableStyles count="0" defaultTableStyle="TableStyleMedium2" defaultPivotStyle="PivotStyleLight16"/>
  <colors>
    <mruColors>
      <color rgb="FFFFF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657225</xdr:colOff>
      <xdr:row>3</xdr:row>
      <xdr:rowOff>0</xdr:rowOff>
    </xdr:from>
    <xdr:ext cx="6648450" cy="3276600"/>
    <xdr:pic>
      <xdr:nvPicPr>
        <xdr:cNvPr id="3" name="image1.png">
          <a:extLst>
            <a:ext uri="{FF2B5EF4-FFF2-40B4-BE49-F238E27FC236}">
              <a16:creationId xmlns:a16="http://schemas.microsoft.com/office/drawing/2014/main" id="{6916B12C-9141-C047-8881-537606BEB3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88725" y="647700"/>
          <a:ext cx="6648450" cy="32766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lippesaba/Library/CloudStorage/GoogleDrive-saba@orla.tech/.shortcut-targets-by-id/1H4u6dMRjsbYu4vmSHj1v8Hqwr2ANf1u3/Orla%20diretoria/Clientes/Anbima/Financeiro/Anbima%20-%20Relato&#769;rio%20de%20Horas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H4u6dMRjsbYu4vmSHj1v8Hqwr2ANf1u3\Orla%20diretoria\Financeiro%20e%20administrativo\ANTIGO%20DRE\DRE%20ORLA%20NOVO-Mo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bima - Junho - 23"/>
      <sheetName val="Anbima - Julho - 23"/>
      <sheetName val="Anbima - Agosto - 23 "/>
      <sheetName val="Anbima - Setembro - 23"/>
      <sheetName val="Anbima - Outubro - 23"/>
      <sheetName val="Anbima - Novembro - 23"/>
      <sheetName val="Anbima - Dezembro - 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s"/>
      <sheetName val="CUPONI"/>
      <sheetName val="MANI"/>
      <sheetName val="ANBIMA"/>
      <sheetName val="CREFISA"/>
      <sheetName val="RESUMOS PROJETOS 2023"/>
      <sheetName val="DRE ORLA FY 2023"/>
      <sheetName val="Sheet3"/>
      <sheetName val="PAGAMENTOS"/>
      <sheetName val="REEMBOLSOS"/>
      <sheetName val="RECEBIMENTOS"/>
      <sheetName val="ZH02"/>
      <sheetName val="Previsão de alocação "/>
      <sheetName val="Planilha de preço"/>
      <sheetName val="Sheet4"/>
      <sheetName val="NOTAS FISCAIS 202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F4">
            <v>-428.4</v>
          </cell>
        </row>
        <row r="5">
          <cell r="F5">
            <v>-2386.56</v>
          </cell>
        </row>
      </sheetData>
      <sheetData sheetId="9">
        <row r="3">
          <cell r="E3">
            <v>-594</v>
          </cell>
          <cell r="F3">
            <v>-1163.6399999999999</v>
          </cell>
        </row>
        <row r="14">
          <cell r="F14">
            <v>-785.99</v>
          </cell>
        </row>
        <row r="18">
          <cell r="E18">
            <v>-142.33000000000001</v>
          </cell>
          <cell r="F18">
            <v>-1076.6100000000001</v>
          </cell>
        </row>
        <row r="30">
          <cell r="E30">
            <v>0</v>
          </cell>
          <cell r="F30">
            <v>0</v>
          </cell>
        </row>
        <row r="33">
          <cell r="E33">
            <v>0</v>
          </cell>
          <cell r="F33">
            <v>0</v>
          </cell>
        </row>
        <row r="35">
          <cell r="E35">
            <v>-2525.9</v>
          </cell>
          <cell r="F35">
            <v>-4150.7000000000007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ilippe Saba" refreshedDate="45036.630112500003" createdVersion="8" refreshedVersion="8" minRefreshableVersion="3" recordCount="11" xr:uid="{6D655541-5DA3-C345-A134-800E0E9D54D8}">
  <cacheSource type="worksheet">
    <worksheetSource ref="B4:E15" sheet="VENDAS"/>
  </cacheSource>
  <cacheFields count="5">
    <cacheField name="Cliente" numFmtId="0">
      <sharedItems count="7">
        <s v="Cuponi"/>
        <s v="Anbima"/>
        <s v="Crefisa"/>
        <s v="Manipulae"/>
        <s v="Geonoma"/>
        <s v="Warren"/>
        <s v="Vip Financeira"/>
      </sharedItems>
    </cacheField>
    <cacheField name="Projeto" numFmtId="0">
      <sharedItems count="8">
        <s v="App"/>
        <s v="Reune"/>
        <s v="Crefisa+"/>
        <s v="Produto &amp; Design"/>
        <s v="Desenvolvedores React"/>
        <s v="Lps Mani"/>
        <s v="Institucional "/>
        <s v="Performance"/>
      </sharedItems>
    </cacheField>
    <cacheField name="Valor" numFmtId="8">
      <sharedItems containsSemiMixedTypes="0" containsString="0" containsNumber="1" minValue="3480" maxValue="605808"/>
    </cacheField>
    <cacheField name="Mês" numFmtId="17">
      <sharedItems containsSemiMixedTypes="0" containsNonDate="0" containsDate="1" containsString="0" minDate="2023-01-01T00:00:00" maxDate="2023-04-02T00:00:00" count="4">
        <d v="2023-01-01T00:00:00"/>
        <d v="2023-02-01T00:00:00"/>
        <d v="2023-03-01T00:00:00"/>
        <d v="2023-04-01T00:00:00"/>
      </sharedItems>
      <fieldGroup par="4" base="3">
        <rangePr groupBy="days" startDate="2023-01-01T00:00:00" endDate="2023-04-02T00:00:00"/>
        <groupItems count="368">
          <s v="&lt;01/01/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4/23"/>
        </groupItems>
      </fieldGroup>
    </cacheField>
    <cacheField name="Months" numFmtId="0" databaseField="0">
      <fieldGroup base="3">
        <rangePr groupBy="months" startDate="2023-01-01T00:00:00" endDate="2023-04-02T00:00:00"/>
        <groupItems count="14"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pe Saba" refreshedDate="45128.790348495371" createdVersion="8" refreshedVersion="8" minRefreshableVersion="3" recordCount="153" xr:uid="{65B57669-EA07-4B67-BCFE-28B29E30AEB1}">
  <cacheSource type="worksheet">
    <worksheetSource ref="B4:E581" sheet="PAGAMENTOS"/>
  </cacheSource>
  <cacheFields count="4">
    <cacheField name="Pessoas" numFmtId="0">
      <sharedItems containsBlank="1" count="72">
        <s v="Allan "/>
        <s v="Raphaela"/>
        <s v="Rafael Panhoca"/>
        <s v="Arthur"/>
        <s v="Imposto Orla Digital"/>
        <s v="Inss Kaique"/>
        <s v="Contador "/>
        <s v="Braptech"/>
        <s v="Cartão de Credito "/>
        <s v="Reembolso Kaique"/>
        <s v="Reembolso Mohamad"/>
        <s v="Reembolso Saba"/>
        <s v="Prolabore Kaique"/>
        <s v="Matheus - adiantamento"/>
        <s v="Gustavo - adiantamento"/>
        <s v="Imposto Orla Tech"/>
        <s v="Inss Saba"/>
        <s v="Inss Moha"/>
        <s v="Contador Orla Tech"/>
        <s v="Contador Orla Digital"/>
        <s v="clicksign"/>
        <s v="Amanda"/>
        <s v="Arthur Freela"/>
        <s v="Neto"/>
        <s v="Paiva"/>
        <s v="Matheus Cepil"/>
        <s v="Gustavo "/>
        <s v="Adiantamento Mateus 2"/>
        <s v="Gustavo Celular"/>
        <s v="Comissão Jordao"/>
        <s v="Comissão Rosh"/>
        <s v="Aleph"/>
        <s v="Allan freela"/>
        <s v="Gustavo Rodrigues"/>
        <s v="Gabriela Coni"/>
        <s v="Mateus Chaves"/>
        <s v="Fernando Jorge"/>
        <s v="Nathan Santos"/>
        <s v="TFE Orla Digital"/>
        <s v="TFE Orla Tech"/>
        <s v="Reembolso Amanda"/>
        <s v="Alteração da empresa"/>
        <s v="Prolabore Moha"/>
        <s v="Prolabore Saba"/>
        <s v="Advogado"/>
        <s v="Manutenção ar"/>
        <s v="Neide"/>
        <s v="Allan Patrick De Freitas Santana"/>
        <s v="Raphaela Oliveira"/>
        <s v="Jose Neto"/>
        <s v="Matheus Alcatrao"/>
        <s v="Gabriel Paiva"/>
        <s v="Gabriela Briglia Coni"/>
        <s v="Reembolso Gabi"/>
        <s v="Fernando"/>
        <s v="Alice Almeida"/>
        <s v="Aline Santos"/>
        <s v="Renata Dias"/>
        <s v="Ericsson Teixeira"/>
        <s v="Erickson Adiantamento"/>
        <s v="Caique Oliveira"/>
        <s v="Jonatham Gomes"/>
        <s v="Alexsandro Ramos"/>
        <s v="Irmã aleph"/>
        <s v="Reembolso Note Nathan"/>
        <s v="Plano de saude"/>
        <s v="Gabi reembolso"/>
        <s v="Reembolso Caique Dev"/>
        <s v="Reembolso Re"/>
        <s v="Nathan Reembolso PI"/>
        <s v="Adiantamento Erickson"/>
        <m/>
      </sharedItems>
    </cacheField>
    <cacheField name="Valor" numFmtId="0">
      <sharedItems containsBlank="1" containsMixedTypes="1" containsNumber="1" minValue="-30281.21" maxValue="10375.68"/>
    </cacheField>
    <cacheField name="Data de pagamento" numFmtId="0">
      <sharedItems containsNonDate="0" containsDate="1" containsString="0" containsBlank="1" minDate="2023-03-05T00:00:00" maxDate="2023-07-24T00:00:00" count="24">
        <d v="2023-03-05T00:00:00"/>
        <d v="2023-03-20T00:00:00"/>
        <d v="2023-03-13T00:00:00"/>
        <d v="2023-03-15T00:00:00"/>
        <d v="2023-03-08T00:00:00"/>
        <d v="2023-04-05T00:00:00"/>
        <d v="2023-04-01T00:00:00"/>
        <d v="2023-04-20T00:00:00"/>
        <d v="2023-05-05T00:00:00"/>
        <d v="2023-05-22T00:00:00"/>
        <d v="2023-05-19T00:00:00"/>
        <d v="2023-06-05T00:00:00"/>
        <d v="2023-06-20T00:00:00"/>
        <d v="2023-06-08T00:00:00"/>
        <d v="2023-06-01T00:00:00"/>
        <d v="2023-06-21T00:00:00"/>
        <d v="2023-07-05T00:00:00"/>
        <d v="2023-07-03T00:00:00"/>
        <m/>
        <d v="2023-07-20T00:00:00"/>
        <d v="2023-07-06T00:00:00"/>
        <d v="2023-07-23T00:00:00"/>
        <d v="2023-07-10T00:00:00"/>
        <d v="2023-06-06T00:00:00" u="1"/>
      </sharedItems>
    </cacheField>
    <cacheField name="Mês de competencia" numFmtId="0">
      <sharedItems containsNonDate="0" containsDate="1" containsString="0" containsBlank="1" minDate="2023-02-01T00:00:00" maxDate="2023-06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-10000"/>
    <x v="0"/>
    <d v="2023-02-01T00:00:00"/>
  </r>
  <r>
    <x v="1"/>
    <n v="-3000"/>
    <x v="0"/>
    <d v="2023-02-01T00:00:00"/>
  </r>
  <r>
    <x v="2"/>
    <n v="-1200"/>
    <x v="0"/>
    <d v="2023-02-01T00:00:00"/>
  </r>
  <r>
    <x v="3"/>
    <n v="-220"/>
    <x v="0"/>
    <d v="2023-02-01T00:00:00"/>
  </r>
  <r>
    <x v="4"/>
    <n v="-649.20000000000005"/>
    <x v="1"/>
    <d v="2023-02-01T00:00:00"/>
  </r>
  <r>
    <x v="5"/>
    <n v="-148.5"/>
    <x v="1"/>
    <d v="2023-02-01T00:00:00"/>
  </r>
  <r>
    <x v="6"/>
    <n v="-240"/>
    <x v="2"/>
    <d v="2023-02-01T00:00:00"/>
  </r>
  <r>
    <x v="7"/>
    <n v="-88.98"/>
    <x v="3"/>
    <d v="2023-02-01T00:00:00"/>
  </r>
  <r>
    <x v="8"/>
    <n v="-1104.3900000000001"/>
    <x v="4"/>
    <d v="2023-02-01T00:00:00"/>
  </r>
  <r>
    <x v="9"/>
    <n v="0"/>
    <x v="2"/>
    <d v="2023-02-01T00:00:00"/>
  </r>
  <r>
    <x v="10"/>
    <n v="-2668.23"/>
    <x v="2"/>
    <d v="2023-02-01T00:00:00"/>
  </r>
  <r>
    <x v="11"/>
    <n v="-594"/>
    <x v="2"/>
    <d v="2023-02-01T00:00:00"/>
  </r>
  <r>
    <x v="12"/>
    <n v="-10000"/>
    <x v="2"/>
    <d v="2023-02-01T00:00:00"/>
  </r>
  <r>
    <x v="0"/>
    <n v="-10000"/>
    <x v="5"/>
    <d v="2023-03-01T00:00:00"/>
  </r>
  <r>
    <x v="1"/>
    <n v="-3000"/>
    <x v="5"/>
    <d v="2023-03-01T00:00:00"/>
  </r>
  <r>
    <x v="2"/>
    <n v="-1200"/>
    <x v="5"/>
    <d v="2023-03-01T00:00:00"/>
  </r>
  <r>
    <x v="3"/>
    <n v="-1036"/>
    <x v="5"/>
    <d v="2023-03-01T00:00:00"/>
  </r>
  <r>
    <x v="13"/>
    <n v="-1600"/>
    <x v="6"/>
    <d v="2023-03-01T00:00:00"/>
  </r>
  <r>
    <x v="14"/>
    <n v="-1500"/>
    <x v="6"/>
    <d v="2023-03-01T00:00:00"/>
  </r>
  <r>
    <x v="4"/>
    <n v="-428.4"/>
    <x v="7"/>
    <d v="2023-03-01T00:00:00"/>
  </r>
  <r>
    <x v="15"/>
    <n v="-2386.56"/>
    <x v="7"/>
    <d v="2023-03-01T00:00:00"/>
  </r>
  <r>
    <x v="5"/>
    <n v="-148.5"/>
    <x v="7"/>
    <d v="2023-03-01T00:00:00"/>
  </r>
  <r>
    <x v="16"/>
    <n v="-148.5"/>
    <x v="7"/>
    <d v="2023-03-01T00:00:00"/>
  </r>
  <r>
    <x v="17"/>
    <n v="-148.5"/>
    <x v="7"/>
    <d v="2023-03-01T00:00:00"/>
  </r>
  <r>
    <x v="18"/>
    <n v="-450"/>
    <x v="7"/>
    <d v="2023-03-01T00:00:00"/>
  </r>
  <r>
    <x v="19"/>
    <n v="-450"/>
    <x v="7"/>
    <d v="2023-03-01T00:00:00"/>
  </r>
  <r>
    <x v="7"/>
    <n v="-88.98"/>
    <x v="7"/>
    <d v="2023-03-01T00:00:00"/>
  </r>
  <r>
    <x v="20"/>
    <n v="-68"/>
    <x v="5"/>
    <d v="2023-03-01T00:00:00"/>
  </r>
  <r>
    <x v="8"/>
    <n v="-779.83"/>
    <x v="5"/>
    <d v="2023-03-01T00:00:00"/>
  </r>
  <r>
    <x v="9"/>
    <n v="-785.99"/>
    <x v="7"/>
    <d v="2023-03-01T00:00:00"/>
  </r>
  <r>
    <x v="10"/>
    <n v="-5227.3100000000013"/>
    <x v="7"/>
    <d v="2023-03-01T00:00:00"/>
  </r>
  <r>
    <x v="11"/>
    <n v="-1163.6399999999999"/>
    <x v="7"/>
    <d v="2023-03-01T00:00:00"/>
  </r>
  <r>
    <x v="0"/>
    <n v="-10000"/>
    <x v="8"/>
    <d v="2023-04-01T00:00:00"/>
  </r>
  <r>
    <x v="1"/>
    <n v="-3000"/>
    <x v="8"/>
    <d v="2023-04-01T00:00:00"/>
  </r>
  <r>
    <x v="21"/>
    <n v="-3000"/>
    <x v="8"/>
    <d v="2023-04-01T00:00:00"/>
  </r>
  <r>
    <x v="2"/>
    <n v="-1200"/>
    <x v="8"/>
    <d v="2023-04-01T00:00:00"/>
  </r>
  <r>
    <x v="3"/>
    <n v="-13000"/>
    <x v="8"/>
    <d v="2023-04-01T00:00:00"/>
  </r>
  <r>
    <x v="22"/>
    <n v="-1184"/>
    <x v="9"/>
    <d v="2023-04-01T00:00:00"/>
  </r>
  <r>
    <x v="23"/>
    <n v="-18000"/>
    <x v="8"/>
    <d v="2023-04-01T00:00:00"/>
  </r>
  <r>
    <x v="24"/>
    <n v="-9000"/>
    <x v="8"/>
    <d v="2023-04-01T00:00:00"/>
  </r>
  <r>
    <x v="25"/>
    <n v="-9500"/>
    <x v="8"/>
    <d v="2023-04-01T00:00:00"/>
  </r>
  <r>
    <x v="26"/>
    <n v="-9500"/>
    <x v="8"/>
    <d v="2023-04-01T00:00:00"/>
  </r>
  <r>
    <x v="27"/>
    <n v="-381"/>
    <x v="9"/>
    <d v="2023-04-01T00:00:00"/>
  </r>
  <r>
    <x v="28"/>
    <n v="-400"/>
    <x v="10"/>
    <d v="2023-04-01T00:00:00"/>
  </r>
  <r>
    <x v="29"/>
    <n v="-400"/>
    <x v="10"/>
    <d v="2023-04-01T00:00:00"/>
  </r>
  <r>
    <x v="30"/>
    <n v="-500"/>
    <x v="10"/>
    <d v="2023-04-01T00:00:00"/>
  </r>
  <r>
    <x v="4"/>
    <n v="-208.80000000000018"/>
    <x v="10"/>
    <d v="2023-04-01T00:00:00"/>
  </r>
  <r>
    <x v="15"/>
    <n v="-2976.3840000000055"/>
    <x v="10"/>
    <d v="2023-04-01T00:00:00"/>
  </r>
  <r>
    <x v="5"/>
    <n v="-148.5"/>
    <x v="10"/>
    <d v="2023-04-01T00:00:00"/>
  </r>
  <r>
    <x v="16"/>
    <n v="-148.5"/>
    <x v="10"/>
    <d v="2023-04-01T00:00:00"/>
  </r>
  <r>
    <x v="17"/>
    <n v="-148.5"/>
    <x v="10"/>
    <d v="2023-04-01T00:00:00"/>
  </r>
  <r>
    <x v="18"/>
    <n v="-450"/>
    <x v="10"/>
    <d v="2023-04-01T00:00:00"/>
  </r>
  <r>
    <x v="19"/>
    <n v="-450"/>
    <x v="10"/>
    <d v="2023-04-01T00:00:00"/>
  </r>
  <r>
    <x v="7"/>
    <n v="-90"/>
    <x v="10"/>
    <d v="2023-04-01T00:00:00"/>
  </r>
  <r>
    <x v="20"/>
    <n v="-59.5"/>
    <x v="8"/>
    <d v="2023-04-01T00:00:00"/>
  </r>
  <r>
    <x v="8"/>
    <n v="-3106.48"/>
    <x v="8"/>
    <d v="2023-04-01T00:00:00"/>
  </r>
  <r>
    <x v="31"/>
    <n v="0"/>
    <x v="10"/>
    <d v="2023-04-01T00:00:00"/>
  </r>
  <r>
    <x v="9"/>
    <n v="-422"/>
    <x v="10"/>
    <d v="2023-04-01T00:00:00"/>
  </r>
  <r>
    <x v="10"/>
    <n v="-8905.48"/>
    <x v="10"/>
    <d v="2023-04-01T00:00:00"/>
  </r>
  <r>
    <x v="11"/>
    <n v="-5393"/>
    <x v="10"/>
    <d v="2023-04-01T00:00:00"/>
  </r>
  <r>
    <x v="0"/>
    <n v="-10000"/>
    <x v="11"/>
    <d v="2023-05-01T00:00:00"/>
  </r>
  <r>
    <x v="32"/>
    <n v="-780"/>
    <x v="12"/>
    <d v="2023-05-01T00:00:00"/>
  </r>
  <r>
    <x v="1"/>
    <n v="-5000"/>
    <x v="11"/>
    <d v="2023-05-01T00:00:00"/>
  </r>
  <r>
    <x v="21"/>
    <n v="-3000"/>
    <x v="11"/>
    <d v="2023-05-01T00:00:00"/>
  </r>
  <r>
    <x v="2"/>
    <n v="-1200"/>
    <x v="11"/>
    <d v="2023-05-01T00:00:00"/>
  </r>
  <r>
    <x v="3"/>
    <n v="-13000"/>
    <x v="11"/>
    <d v="2023-05-01T00:00:00"/>
  </r>
  <r>
    <x v="22"/>
    <n v="-378"/>
    <x v="12"/>
    <d v="2023-05-01T00:00:00"/>
  </r>
  <r>
    <x v="23"/>
    <n v="-18000"/>
    <x v="11"/>
    <d v="2023-05-01T00:00:00"/>
  </r>
  <r>
    <x v="24"/>
    <n v="-9000"/>
    <x v="11"/>
    <d v="2023-05-01T00:00:00"/>
  </r>
  <r>
    <x v="25"/>
    <n v="-9500"/>
    <x v="11"/>
    <d v="2023-05-01T00:00:00"/>
  </r>
  <r>
    <x v="33"/>
    <n v="-9500"/>
    <x v="11"/>
    <d v="2023-05-01T00:00:00"/>
  </r>
  <r>
    <x v="34"/>
    <n v="-6500"/>
    <x v="11"/>
    <d v="2023-05-01T00:00:00"/>
  </r>
  <r>
    <x v="35"/>
    <n v="-4429"/>
    <x v="11"/>
    <d v="2023-05-01T00:00:00"/>
  </r>
  <r>
    <x v="36"/>
    <n v="-343"/>
    <x v="11"/>
    <d v="2023-05-01T00:00:00"/>
  </r>
  <r>
    <x v="37"/>
    <n v="-15000"/>
    <x v="12"/>
    <d v="2023-05-01T00:00:00"/>
  </r>
  <r>
    <x v="28"/>
    <n v="-400"/>
    <x v="12"/>
    <d v="2023-05-01T00:00:00"/>
  </r>
  <r>
    <x v="4"/>
    <n v="10375.68"/>
    <x v="12"/>
    <d v="2023-05-01T00:00:00"/>
  </r>
  <r>
    <x v="15"/>
    <n v="-8551.73"/>
    <x v="12"/>
    <d v="2023-05-01T00:00:00"/>
  </r>
  <r>
    <x v="38"/>
    <n v="-206.68"/>
    <x v="12"/>
    <d v="2023-05-01T00:00:00"/>
  </r>
  <r>
    <x v="39"/>
    <n v="-236.98"/>
    <x v="12"/>
    <d v="2023-05-01T00:00:00"/>
  </r>
  <r>
    <x v="5"/>
    <n v="-148.5"/>
    <x v="12"/>
    <d v="2023-05-01T00:00:00"/>
  </r>
  <r>
    <x v="16"/>
    <n v="-148.5"/>
    <x v="12"/>
    <d v="2023-05-01T00:00:00"/>
  </r>
  <r>
    <x v="17"/>
    <n v="-148.5"/>
    <x v="12"/>
    <d v="2023-05-01T00:00:00"/>
  </r>
  <r>
    <x v="18"/>
    <n v="-450"/>
    <x v="12"/>
    <d v="2023-05-01T00:00:00"/>
  </r>
  <r>
    <x v="19"/>
    <n v="-450"/>
    <x v="12"/>
    <d v="2023-05-01T00:00:00"/>
  </r>
  <r>
    <x v="7"/>
    <n v="-90"/>
    <x v="12"/>
    <d v="2023-05-01T00:00:00"/>
  </r>
  <r>
    <x v="20"/>
    <n v="-90"/>
    <x v="11"/>
    <d v="2023-05-01T00:00:00"/>
  </r>
  <r>
    <x v="8"/>
    <n v="-4688.05"/>
    <x v="13"/>
    <d v="2023-05-01T00:00:00"/>
  </r>
  <r>
    <x v="9"/>
    <n v="-1537.23"/>
    <x v="12"/>
    <d v="2023-05-01T00:00:00"/>
  </r>
  <r>
    <x v="10"/>
    <n v="-10997.22"/>
    <x v="12"/>
    <d v="2023-05-01T00:00:00"/>
  </r>
  <r>
    <x v="11"/>
    <n v="-9777.2799999999988"/>
    <x v="12"/>
    <d v="2023-05-01T00:00:00"/>
  </r>
  <r>
    <x v="40"/>
    <n v="-206.32999999999998"/>
    <x v="11"/>
    <d v="2023-05-01T00:00:00"/>
  </r>
  <r>
    <x v="41"/>
    <n v="-1700"/>
    <x v="14"/>
    <d v="2023-05-01T00:00:00"/>
  </r>
  <r>
    <x v="12"/>
    <n v="-17063.260000000002"/>
    <x v="12"/>
    <d v="2023-05-01T00:00:00"/>
  </r>
  <r>
    <x v="42"/>
    <n v="-15117.26"/>
    <x v="12"/>
    <d v="2023-05-01T00:00:00"/>
  </r>
  <r>
    <x v="43"/>
    <n v="-16027.76"/>
    <x v="12"/>
    <d v="2023-05-01T00:00:00"/>
  </r>
  <r>
    <x v="44"/>
    <n v="-2100"/>
    <x v="12"/>
    <d v="2023-05-01T00:00:00"/>
  </r>
  <r>
    <x v="45"/>
    <n v="-157.5"/>
    <x v="15"/>
    <d v="2023-05-01T00:00:00"/>
  </r>
  <r>
    <x v="46"/>
    <n v="-300"/>
    <x v="15"/>
    <d v="2023-05-01T00:00:00"/>
  </r>
  <r>
    <x v="47"/>
    <n v="-10000"/>
    <x v="16"/>
    <d v="2023-06-01T00:00:00"/>
  </r>
  <r>
    <x v="48"/>
    <n v="-5000"/>
    <x v="16"/>
    <d v="2023-06-01T00:00:00"/>
  </r>
  <r>
    <x v="49"/>
    <n v="-18000"/>
    <x v="16"/>
    <d v="2023-06-01T00:00:00"/>
  </r>
  <r>
    <x v="21"/>
    <n v="-3000"/>
    <x v="16"/>
    <d v="2023-06-01T00:00:00"/>
  </r>
  <r>
    <x v="2"/>
    <n v="-1200"/>
    <x v="16"/>
    <d v="2023-06-01T00:00:00"/>
  </r>
  <r>
    <x v="33"/>
    <n v="-9500"/>
    <x v="16"/>
    <d v="2023-06-01T00:00:00"/>
  </r>
  <r>
    <x v="50"/>
    <n v="-5714.2857142857101"/>
    <x v="17"/>
    <d v="2023-06-01T00:00:00"/>
  </r>
  <r>
    <x v="51"/>
    <n v="-9000"/>
    <x v="16"/>
    <d v="2023-06-01T00:00:00"/>
  </r>
  <r>
    <x v="52"/>
    <n v="-6500"/>
    <x v="16"/>
    <d v="2023-06-01T00:00:00"/>
  </r>
  <r>
    <x v="53"/>
    <m/>
    <x v="18"/>
    <m/>
  </r>
  <r>
    <x v="35"/>
    <n v="-10000"/>
    <x v="16"/>
    <d v="2023-06-01T00:00:00"/>
  </r>
  <r>
    <x v="3"/>
    <n v="-13000"/>
    <x v="16"/>
    <d v="2023-06-01T00:00:00"/>
  </r>
  <r>
    <x v="22"/>
    <n v="-288"/>
    <x v="19"/>
    <d v="2023-06-01T00:00:00"/>
  </r>
  <r>
    <x v="54"/>
    <n v="-1200"/>
    <x v="16"/>
    <d v="2023-06-01T00:00:00"/>
  </r>
  <r>
    <x v="55"/>
    <n v="-8850"/>
    <x v="16"/>
    <d v="2023-06-01T00:00:00"/>
  </r>
  <r>
    <x v="37"/>
    <n v="-15000"/>
    <x v="16"/>
    <d v="2023-06-01T00:00:00"/>
  </r>
  <r>
    <x v="56"/>
    <n v="-7857.1428571428596"/>
    <x v="16"/>
    <d v="2023-06-01T00:00:00"/>
  </r>
  <r>
    <x v="57"/>
    <s v="-"/>
    <x v="16"/>
    <d v="2023-06-01T00:00:00"/>
  </r>
  <r>
    <x v="58"/>
    <s v="-"/>
    <x v="16"/>
    <d v="2023-06-01T00:00:00"/>
  </r>
  <r>
    <x v="59"/>
    <n v="-1500"/>
    <x v="16"/>
    <d v="2023-06-01T00:00:00"/>
  </r>
  <r>
    <x v="60"/>
    <s v="-"/>
    <x v="16"/>
    <d v="2023-06-01T00:00:00"/>
  </r>
  <r>
    <x v="61"/>
    <n v="-2857.1428571428601"/>
    <x v="16"/>
    <d v="2023-06-01T00:00:00"/>
  </r>
  <r>
    <x v="62"/>
    <n v="-5714.29"/>
    <x v="16"/>
    <d v="2023-06-01T00:00:00"/>
  </r>
  <r>
    <x v="63"/>
    <n v="-3750"/>
    <x v="20"/>
    <d v="2023-06-01T00:00:00"/>
  </r>
  <r>
    <x v="28"/>
    <n v="-400"/>
    <x v="19"/>
    <d v="2023-06-01T00:00:00"/>
  </r>
  <r>
    <x v="4"/>
    <n v="-30281.21"/>
    <x v="19"/>
    <d v="2023-06-01T00:00:00"/>
  </r>
  <r>
    <x v="15"/>
    <n v="-7905.97"/>
    <x v="19"/>
    <d v="2023-06-01T00:00:00"/>
  </r>
  <r>
    <x v="64"/>
    <n v="-1000"/>
    <x v="19"/>
    <d v="2023-06-01T00:00:00"/>
  </r>
  <r>
    <x v="65"/>
    <n v="-4120.76"/>
    <x v="19"/>
    <d v="2023-06-01T00:00:00"/>
  </r>
  <r>
    <x v="5"/>
    <n v="-150"/>
    <x v="19"/>
    <d v="2023-06-01T00:00:00"/>
  </r>
  <r>
    <x v="16"/>
    <n v="-150"/>
    <x v="19"/>
    <d v="2023-06-01T00:00:00"/>
  </r>
  <r>
    <x v="17"/>
    <n v="-150"/>
    <x v="19"/>
    <d v="2023-06-01T00:00:00"/>
  </r>
  <r>
    <x v="18"/>
    <n v="-450"/>
    <x v="19"/>
    <d v="2023-06-01T00:00:00"/>
  </r>
  <r>
    <x v="19"/>
    <n v="-450"/>
    <x v="19"/>
    <d v="2023-06-01T00:00:00"/>
  </r>
  <r>
    <x v="7"/>
    <n v="-90"/>
    <x v="19"/>
    <d v="2023-06-01T00:00:00"/>
  </r>
  <r>
    <x v="20"/>
    <n v="-39"/>
    <x v="17"/>
    <d v="2023-06-01T00:00:00"/>
  </r>
  <r>
    <x v="8"/>
    <n v="-2127.27"/>
    <x v="21"/>
    <d v="2023-06-01T00:00:00"/>
  </r>
  <r>
    <x v="9"/>
    <n v="-3183"/>
    <x v="22"/>
    <d v="2023-06-01T00:00:00"/>
  </r>
  <r>
    <x v="10"/>
    <n v="-13868.779999999999"/>
    <x v="22"/>
    <d v="2023-06-01T00:00:00"/>
  </r>
  <r>
    <x v="11"/>
    <n v="-9345.0499999999993"/>
    <x v="22"/>
    <d v="2023-06-01T00:00:00"/>
  </r>
  <r>
    <x v="40"/>
    <m/>
    <x v="19"/>
    <d v="2023-06-01T00:00:00"/>
  </r>
  <r>
    <x v="41"/>
    <m/>
    <x v="19"/>
    <d v="2023-06-01T00:00:00"/>
  </r>
  <r>
    <x v="12"/>
    <n v="-16000"/>
    <x v="19"/>
    <d v="2023-06-01T00:00:00"/>
  </r>
  <r>
    <x v="42"/>
    <n v="-16000"/>
    <x v="19"/>
    <d v="2023-06-01T00:00:00"/>
  </r>
  <r>
    <x v="43"/>
    <n v="-14747.23"/>
    <x v="19"/>
    <d v="2023-06-01T00:00:00"/>
  </r>
  <r>
    <x v="44"/>
    <n v="-2100"/>
    <x v="19"/>
    <d v="2023-06-01T00:00:00"/>
  </r>
  <r>
    <x v="45"/>
    <s v="-"/>
    <x v="19"/>
    <d v="2023-06-01T00:00:00"/>
  </r>
  <r>
    <x v="46"/>
    <n v="-600"/>
    <x v="19"/>
    <d v="2023-06-01T00:00:00"/>
  </r>
  <r>
    <x v="66"/>
    <n v="-960.63"/>
    <x v="19"/>
    <d v="2023-06-01T00:00:00"/>
  </r>
  <r>
    <x v="67"/>
    <n v="-72.22"/>
    <x v="19"/>
    <d v="2023-06-01T00:00:00"/>
  </r>
  <r>
    <x v="68"/>
    <n v="-48.8"/>
    <x v="19"/>
    <d v="2023-06-01T00:00:00"/>
  </r>
  <r>
    <x v="69"/>
    <n v="-739.79"/>
    <x v="19"/>
    <d v="2023-06-01T00:00:00"/>
  </r>
  <r>
    <x v="70"/>
    <n v="-3000"/>
    <x v="19"/>
    <d v="2023-06-01T00:00:00"/>
  </r>
  <r>
    <x v="71"/>
    <m/>
    <x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BE79D-DC36-4926-A455-41B468BE3C0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Y77" firstHeaderRow="1" firstDataRow="2" firstDataCol="1"/>
  <pivotFields count="4">
    <pivotField axis="axisRow" showAll="0" sortType="ascending">
      <items count="73">
        <item x="70"/>
        <item x="27"/>
        <item x="44"/>
        <item x="31"/>
        <item x="62"/>
        <item x="55"/>
        <item x="56"/>
        <item x="0"/>
        <item x="32"/>
        <item x="47"/>
        <item x="41"/>
        <item x="21"/>
        <item x="3"/>
        <item x="22"/>
        <item x="7"/>
        <item x="60"/>
        <item x="8"/>
        <item x="20"/>
        <item x="29"/>
        <item x="30"/>
        <item x="6"/>
        <item x="19"/>
        <item x="18"/>
        <item x="59"/>
        <item x="58"/>
        <item x="54"/>
        <item x="36"/>
        <item x="66"/>
        <item x="51"/>
        <item x="52"/>
        <item x="34"/>
        <item x="26"/>
        <item x="14"/>
        <item x="28"/>
        <item x="33"/>
        <item x="4"/>
        <item x="15"/>
        <item x="5"/>
        <item x="17"/>
        <item x="16"/>
        <item x="63"/>
        <item x="61"/>
        <item x="49"/>
        <item x="45"/>
        <item x="35"/>
        <item x="13"/>
        <item x="50"/>
        <item x="25"/>
        <item x="69"/>
        <item x="37"/>
        <item x="46"/>
        <item x="23"/>
        <item x="24"/>
        <item x="65"/>
        <item x="12"/>
        <item x="42"/>
        <item x="43"/>
        <item x="2"/>
        <item x="1"/>
        <item x="48"/>
        <item x="40"/>
        <item x="67"/>
        <item x="53"/>
        <item x="9"/>
        <item x="10"/>
        <item x="64"/>
        <item x="68"/>
        <item x="11"/>
        <item x="57"/>
        <item x="38"/>
        <item x="39"/>
        <item x="71"/>
        <item t="default"/>
      </items>
    </pivotField>
    <pivotField dataField="1" numFmtId="44"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8"/>
        <item x="13"/>
        <item x="15"/>
        <item x="16"/>
        <item x="17"/>
        <item x="19"/>
        <item m="1" x="23"/>
        <item x="21"/>
        <item x="22"/>
        <item x="20"/>
        <item t="default"/>
      </items>
    </pivotField>
    <pivotField numFmtId="17"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2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 t="grand">
      <x/>
    </i>
  </colItems>
  <dataFields count="1">
    <dataField name="Sum of Valor" fld="1" baseField="0" baseItem="0" numFmtId="7"/>
  </dataFields>
  <formats count="75">
    <format dxfId="75">
      <pivotArea outline="0" collapsedLevelsAreSubtotals="1" fieldPosition="0"/>
    </format>
    <format dxfId="74">
      <pivotArea collapsedLevelsAreSubtotals="1" fieldPosition="0">
        <references count="2">
          <reference field="0" count="1">
            <x v="51"/>
          </reference>
          <reference field="2" count="1" selected="0">
            <x v="11"/>
          </reference>
        </references>
      </pivotArea>
    </format>
    <format dxfId="73">
      <pivotArea collapsedLevelsAreSubtotals="1" fieldPosition="0">
        <references count="2">
          <reference field="0" count="1">
            <x v="12"/>
          </reference>
          <reference field="2" count="1" selected="0">
            <x v="11"/>
          </reference>
        </references>
      </pivotArea>
    </format>
    <format dxfId="72">
      <pivotArea collapsedLevelsAreSubtotals="1" fieldPosition="0">
        <references count="2">
          <reference field="0" count="1">
            <x v="47"/>
          </reference>
          <reference field="2" count="1" selected="0">
            <x v="11"/>
          </reference>
        </references>
      </pivotArea>
    </format>
    <format dxfId="71">
      <pivotArea collapsedLevelsAreSubtotals="1" fieldPosition="0">
        <references count="2">
          <reference field="0" count="1">
            <x v="34"/>
          </reference>
          <reference field="2" count="1" selected="0">
            <x v="11"/>
          </reference>
        </references>
      </pivotArea>
    </format>
    <format dxfId="70">
      <pivotArea collapsedLevelsAreSubtotals="1" fieldPosition="0">
        <references count="2">
          <reference field="0" count="1">
            <x v="52"/>
          </reference>
          <reference field="2" count="1" selected="0">
            <x v="11"/>
          </reference>
        </references>
      </pivotArea>
    </format>
    <format dxfId="69">
      <pivotArea collapsedLevelsAreSubtotals="1" fieldPosition="0">
        <references count="2">
          <reference field="0" count="1">
            <x v="44"/>
          </reference>
          <reference field="2" count="1" selected="0">
            <x v="11"/>
          </reference>
        </references>
      </pivotArea>
    </format>
    <format dxfId="68">
      <pivotArea collapsedLevelsAreSubtotals="1" fieldPosition="0">
        <references count="2">
          <reference field="0" count="1">
            <x v="11"/>
          </reference>
          <reference field="2" count="1" selected="0">
            <x v="11"/>
          </reference>
        </references>
      </pivotArea>
    </format>
    <format dxfId="67">
      <pivotArea collapsedLevelsAreSubtotals="1" fieldPosition="0">
        <references count="2">
          <reference field="0" count="1">
            <x v="57"/>
          </reference>
          <reference field="2" count="1" selected="0">
            <x v="11"/>
          </reference>
        </references>
      </pivotArea>
    </format>
    <format dxfId="66">
      <pivotArea collapsedLevelsAreSubtotals="1" fieldPosition="0">
        <references count="2">
          <reference field="0" count="1">
            <x v="26"/>
          </reference>
          <reference field="2" count="1" selected="0">
            <x v="11"/>
          </reference>
        </references>
      </pivotArea>
    </format>
    <format dxfId="65">
      <pivotArea collapsedLevelsAreSubtotals="1" fieldPosition="0">
        <references count="2">
          <reference field="0" count="1">
            <x v="60"/>
          </reference>
          <reference field="2" count="1" selected="0">
            <x v="11"/>
          </reference>
        </references>
      </pivotArea>
    </format>
    <format dxfId="64">
      <pivotArea collapsedLevelsAreSubtotals="1" fieldPosition="0">
        <references count="2">
          <reference field="0" count="1">
            <x v="10"/>
          </reference>
          <reference field="2" count="1" selected="0">
            <x v="13"/>
          </reference>
        </references>
      </pivotArea>
    </format>
    <format dxfId="63">
      <pivotArea collapsedLevelsAreSubtotals="1" fieldPosition="0">
        <references count="2">
          <reference field="0" count="1">
            <x v="7"/>
          </reference>
          <reference field="2" count="1" selected="0">
            <x v="11"/>
          </reference>
        </references>
      </pivotArea>
    </format>
    <format dxfId="62">
      <pivotArea collapsedLevelsAreSubtotals="1" fieldPosition="0">
        <references count="2">
          <reference field="0" count="1">
            <x v="17"/>
          </reference>
          <reference field="2" count="1" selected="0">
            <x v="11"/>
          </reference>
        </references>
      </pivotArea>
    </format>
    <format dxfId="61">
      <pivotArea collapsedLevelsAreSubtotals="1" fieldPosition="0">
        <references count="2">
          <reference field="0" count="1">
            <x v="58"/>
          </reference>
          <reference field="2" count="1" selected="0">
            <x v="11"/>
          </reference>
        </references>
      </pivotArea>
    </format>
    <format dxfId="60">
      <pivotArea collapsedLevelsAreSubtotals="1" fieldPosition="0">
        <references count="2">
          <reference field="0" count="3">
            <x v="63"/>
            <x v="64"/>
            <x v="67"/>
          </reference>
          <reference field="2" count="1" selected="0">
            <x v="12"/>
          </reference>
        </references>
      </pivotArea>
    </format>
    <format dxfId="59">
      <pivotArea collapsedLevelsAreSubtotals="1" fieldPosition="0">
        <references count="2">
          <reference field="0" count="1">
            <x v="49"/>
          </reference>
          <reference field="2" count="1" selected="0">
            <x v="12"/>
          </reference>
        </references>
      </pivotArea>
    </format>
    <format dxfId="58">
      <pivotArea collapsedLevelsAreSubtotals="1" fieldPosition="0">
        <references count="2">
          <reference field="0" count="1">
            <x v="16"/>
          </reference>
          <reference field="2" count="1" selected="0">
            <x v="15"/>
          </reference>
        </references>
      </pivotArea>
    </format>
    <format dxfId="57">
      <pivotArea collapsedLevelsAreSubtotals="1" fieldPosition="0">
        <references count="2">
          <reference field="0" count="1">
            <x v="30"/>
          </reference>
          <reference field="2" count="1" selected="0">
            <x v="11"/>
          </reference>
        </references>
      </pivotArea>
    </format>
    <format dxfId="56">
      <pivotArea collapsedLevelsAreSubtotals="1" fieldPosition="0">
        <references count="2">
          <reference field="0" count="1">
            <x v="22"/>
          </reference>
          <reference field="2" count="1" selected="0">
            <x v="12"/>
          </reference>
        </references>
      </pivotArea>
    </format>
    <format dxfId="55">
      <pivotArea collapsedLevelsAreSubtotals="1" fieldPosition="0">
        <references count="2">
          <reference field="0" count="1">
            <x v="39"/>
          </reference>
          <reference field="2" count="1" selected="0">
            <x v="12"/>
          </reference>
        </references>
      </pivotArea>
    </format>
    <format dxfId="54">
      <pivotArea collapsedLevelsAreSubtotals="1" fieldPosition="0">
        <references count="2">
          <reference field="0" count="1">
            <x v="36"/>
          </reference>
          <reference field="2" count="1" selected="0">
            <x v="12"/>
          </reference>
        </references>
      </pivotArea>
    </format>
    <format dxfId="53">
      <pivotArea collapsedLevelsAreSubtotals="1" fieldPosition="0">
        <references count="2">
          <reference field="0" count="1">
            <x v="70"/>
          </reference>
          <reference field="2" count="1" selected="0">
            <x v="12"/>
          </reference>
        </references>
      </pivotArea>
    </format>
    <format dxfId="52">
      <pivotArea collapsedLevelsAreSubtotals="1" fieldPosition="0">
        <references count="2">
          <reference field="0" count="1">
            <x v="21"/>
          </reference>
          <reference field="2" count="1" selected="0">
            <x v="12"/>
          </reference>
        </references>
      </pivotArea>
    </format>
    <format dxfId="51">
      <pivotArea collapsedLevelsAreSubtotals="1" fieldPosition="0">
        <references count="2">
          <reference field="0" count="1">
            <x v="35"/>
          </reference>
          <reference field="2" count="1" selected="0">
            <x v="12"/>
          </reference>
        </references>
      </pivotArea>
    </format>
    <format dxfId="50">
      <pivotArea collapsedLevelsAreSubtotals="1" fieldPosition="0">
        <references count="2">
          <reference field="0" count="1">
            <x v="33"/>
          </reference>
          <reference field="2" count="1" selected="0">
            <x v="12"/>
          </reference>
        </references>
      </pivotArea>
    </format>
    <format dxfId="49">
      <pivotArea collapsedLevelsAreSubtotals="1" fieldPosition="0">
        <references count="2">
          <reference field="0" count="1">
            <x v="14"/>
          </reference>
          <reference field="2" count="1" selected="0">
            <x v="12"/>
          </reference>
        </references>
      </pivotArea>
    </format>
    <format dxfId="48">
      <pivotArea collapsedLevelsAreSubtotals="1" fieldPosition="0">
        <references count="2">
          <reference field="0" count="2">
            <x v="37"/>
            <x v="38"/>
          </reference>
          <reference field="2" count="1" selected="0">
            <x v="12"/>
          </reference>
        </references>
      </pivotArea>
    </format>
    <format dxfId="47">
      <pivotArea collapsedLevelsAreSubtotals="1" fieldPosition="0">
        <references count="2">
          <reference field="0" count="1">
            <x v="69"/>
          </reference>
          <reference field="2" count="1" selected="0">
            <x v="12"/>
          </reference>
        </references>
      </pivotArea>
    </format>
    <format dxfId="46">
      <pivotArea collapsedLevelsAreSubtotals="1" fieldPosition="0">
        <references count="2">
          <reference field="0" count="1">
            <x v="2"/>
          </reference>
          <reference field="2" count="1" selected="0">
            <x v="12"/>
          </reference>
        </references>
      </pivotArea>
    </format>
    <format dxfId="45">
      <pivotArea collapsedLevelsAreSubtotals="1" fieldPosition="0">
        <references count="2">
          <reference field="0" count="1">
            <x v="8"/>
          </reference>
          <reference field="2" count="1" selected="0">
            <x v="12"/>
          </reference>
        </references>
      </pivotArea>
    </format>
    <format dxfId="44">
      <pivotArea collapsedLevelsAreSubtotals="1" fieldPosition="0">
        <references count="2">
          <reference field="0" count="1">
            <x v="13"/>
          </reference>
          <reference field="2" count="1" selected="0">
            <x v="12"/>
          </reference>
        </references>
      </pivotArea>
    </format>
    <format dxfId="43">
      <pivotArea collapsedLevelsAreSubtotals="1" fieldPosition="0">
        <references count="2">
          <reference field="0" count="3">
            <x v="54"/>
            <x v="55"/>
            <x v="56"/>
          </reference>
          <reference field="2" count="1" selected="0">
            <x v="12"/>
          </reference>
        </references>
      </pivotArea>
    </format>
    <format dxfId="42">
      <pivotArea collapsedLevelsAreSubtotals="1" fieldPosition="0">
        <references count="2">
          <reference field="0" count="1">
            <x v="43"/>
          </reference>
          <reference field="2" count="1" selected="0">
            <x v="16"/>
          </reference>
        </references>
      </pivotArea>
    </format>
    <format dxfId="41">
      <pivotArea collapsedLevelsAreSubtotals="1" fieldPosition="0">
        <references count="2">
          <reference field="0" count="1">
            <x v="50"/>
          </reference>
          <reference field="2" count="1" selected="0">
            <x v="16"/>
          </reference>
        </references>
      </pivotArea>
    </format>
    <format dxfId="40">
      <pivotArea collapsedLevelsAreSubtotals="1" fieldPosition="0">
        <references count="2">
          <reference field="0" count="1">
            <x v="46"/>
          </reference>
          <reference field="2" count="1" selected="0">
            <x v="18"/>
          </reference>
        </references>
      </pivotArea>
    </format>
    <format dxfId="39">
      <pivotArea collapsedLevelsAreSubtotals="1" fieldPosition="0">
        <references count="2">
          <reference field="0" count="1">
            <x v="5"/>
          </reference>
          <reference field="2" count="1" selected="0">
            <x v="17"/>
          </reference>
        </references>
      </pivotArea>
    </format>
    <format dxfId="38">
      <pivotArea collapsedLevelsAreSubtotals="1" fieldPosition="0">
        <references count="2">
          <reference field="0" count="1">
            <x v="6"/>
          </reference>
          <reference field="2" count="1" selected="0">
            <x v="17"/>
          </reference>
        </references>
      </pivotArea>
    </format>
    <format dxfId="37">
      <pivotArea collapsedLevelsAreSubtotals="1" fieldPosition="0">
        <references count="2">
          <reference field="0" count="1">
            <x v="9"/>
          </reference>
          <reference field="2" count="1" selected="0">
            <x v="17"/>
          </reference>
        </references>
      </pivotArea>
    </format>
    <format dxfId="36">
      <pivotArea collapsedLevelsAreSubtotals="1" fieldPosition="0">
        <references count="2">
          <reference field="0" count="1">
            <x v="11"/>
          </reference>
          <reference field="2" count="1" selected="0">
            <x v="17"/>
          </reference>
        </references>
      </pivotArea>
    </format>
    <format dxfId="35">
      <pivotArea collapsedLevelsAreSubtotals="1" fieldPosition="0">
        <references count="2">
          <reference field="0" count="1">
            <x v="12"/>
          </reference>
          <reference field="2" count="1" selected="0">
            <x v="17"/>
          </reference>
        </references>
      </pivotArea>
    </format>
    <format dxfId="34">
      <pivotArea collapsedLevelsAreSubtotals="1" fieldPosition="0">
        <references count="2">
          <reference field="0" count="1">
            <x v="25"/>
          </reference>
          <reference field="2" count="1" selected="0">
            <x v="17"/>
          </reference>
        </references>
      </pivotArea>
    </format>
    <format dxfId="33">
      <pivotArea collapsedLevelsAreSubtotals="1" fieldPosition="0">
        <references count="2">
          <reference field="0" count="1">
            <x v="28"/>
          </reference>
          <reference field="2" count="1" selected="0">
            <x v="17"/>
          </reference>
        </references>
      </pivotArea>
    </format>
    <format dxfId="32">
      <pivotArea collapsedLevelsAreSubtotals="1" fieldPosition="0">
        <references count="2">
          <reference field="0" count="1">
            <x v="28"/>
          </reference>
          <reference field="2" count="1" selected="0">
            <x v="17"/>
          </reference>
        </references>
      </pivotArea>
    </format>
    <format dxfId="31">
      <pivotArea collapsedLevelsAreSubtotals="1" fieldPosition="0">
        <references count="2">
          <reference field="0" count="1">
            <x v="34"/>
          </reference>
          <reference field="2" count="1" selected="0">
            <x v="17"/>
          </reference>
        </references>
      </pivotArea>
    </format>
    <format dxfId="30">
      <pivotArea collapsedLevelsAreSubtotals="1" fieldPosition="0">
        <references count="2">
          <reference field="0" count="1">
            <x v="44"/>
          </reference>
          <reference field="2" count="1" selected="0">
            <x v="17"/>
          </reference>
        </references>
      </pivotArea>
    </format>
    <format dxfId="29">
      <pivotArea collapsedLevelsAreSubtotals="1" fieldPosition="0">
        <references count="2">
          <reference field="0" count="1">
            <x v="42"/>
          </reference>
          <reference field="2" count="1" selected="0">
            <x v="17"/>
          </reference>
        </references>
      </pivotArea>
    </format>
    <format dxfId="28">
      <pivotArea collapsedLevelsAreSubtotals="1" fieldPosition="0">
        <references count="2">
          <reference field="0" count="1">
            <x v="29"/>
          </reference>
          <reference field="2" count="1" selected="0">
            <x v="17"/>
          </reference>
        </references>
      </pivotArea>
    </format>
    <format dxfId="27">
      <pivotArea collapsedLevelsAreSubtotals="1" fieldPosition="0">
        <references count="2">
          <reference field="0" count="1">
            <x v="49"/>
          </reference>
          <reference field="2" count="1" selected="0">
            <x v="17"/>
          </reference>
        </references>
      </pivotArea>
    </format>
    <format dxfId="26">
      <pivotArea collapsedLevelsAreSubtotals="1" fieldPosition="0">
        <references count="2">
          <reference field="0" count="1">
            <x v="57"/>
          </reference>
          <reference field="2" count="1" selected="0">
            <x v="17"/>
          </reference>
        </references>
      </pivotArea>
    </format>
    <format dxfId="25">
      <pivotArea collapsedLevelsAreSubtotals="1" fieldPosition="0">
        <references count="2">
          <reference field="0" count="1">
            <x v="59"/>
          </reference>
          <reference field="2" count="1" selected="0">
            <x v="17"/>
          </reference>
        </references>
      </pivotArea>
    </format>
    <format dxfId="24">
      <pivotArea collapsedLevelsAreSubtotals="1" fieldPosition="0">
        <references count="2">
          <reference field="0" count="1">
            <x v="4"/>
          </reference>
          <reference field="2" count="1" selected="0">
            <x v="17"/>
          </reference>
        </references>
      </pivotArea>
    </format>
    <format dxfId="23">
      <pivotArea collapsedLevelsAreSubtotals="1" fieldPosition="0">
        <references count="2">
          <reference field="0" count="1">
            <x v="41"/>
          </reference>
          <reference field="2" count="1" selected="0">
            <x v="17"/>
          </reference>
        </references>
      </pivotArea>
    </format>
    <format dxfId="22">
      <pivotArea collapsedLevelsAreSubtotals="1" fieldPosition="0">
        <references count="2">
          <reference field="0" count="1">
            <x v="46"/>
          </reference>
          <reference field="2" count="1" selected="0">
            <x v="18"/>
          </reference>
        </references>
      </pivotArea>
    </format>
    <format dxfId="21">
      <pivotArea collapsedLevelsAreSubtotals="1" fieldPosition="0">
        <references count="2">
          <reference field="0" count="1">
            <x v="17"/>
          </reference>
          <reference field="2" count="1" selected="0">
            <x v="18"/>
          </reference>
        </references>
      </pivotArea>
    </format>
    <format dxfId="20">
      <pivotArea collapsedLevelsAreSubtotals="1" fieldPosition="0">
        <references count="2">
          <reference field="0" count="1">
            <x v="23"/>
          </reference>
          <reference field="2" count="1" selected="0">
            <x v="17"/>
          </reference>
        </references>
      </pivotArea>
    </format>
    <format dxfId="19">
      <pivotArea collapsedLevelsAreSubtotals="1" fieldPosition="0">
        <references count="2">
          <reference field="0" count="1">
            <x v="40"/>
          </reference>
          <reference field="2" count="1" selected="0">
            <x v="23"/>
          </reference>
        </references>
      </pivotArea>
    </format>
    <format dxfId="18">
      <pivotArea collapsedLevelsAreSubtotals="1" fieldPosition="0">
        <references count="2">
          <reference field="0" count="3">
            <x v="63"/>
            <x v="64"/>
            <x v="67"/>
          </reference>
          <reference field="2" count="1" selected="0">
            <x v="22"/>
          </reference>
        </references>
      </pivotArea>
    </format>
    <format dxfId="17">
      <pivotArea collapsedLevelsAreSubtotals="1" fieldPosition="0">
        <references count="2">
          <reference field="0" count="1">
            <x v="13"/>
          </reference>
          <reference field="2" count="1" selected="0">
            <x v="19"/>
          </reference>
        </references>
      </pivotArea>
    </format>
    <format dxfId="16">
      <pivotArea collapsedLevelsAreSubtotals="1" fieldPosition="0">
        <references count="2">
          <reference field="0" count="1">
            <x v="14"/>
          </reference>
          <reference field="2" count="1" selected="0">
            <x v="19"/>
          </reference>
        </references>
      </pivotArea>
    </format>
    <format dxfId="15">
      <pivotArea collapsedLevelsAreSubtotals="1" fieldPosition="0">
        <references count="2">
          <reference field="0" count="2">
            <x v="21"/>
            <x v="22"/>
          </reference>
          <reference field="2" count="1" selected="0">
            <x v="19"/>
          </reference>
        </references>
      </pivotArea>
    </format>
    <format dxfId="14">
      <pivotArea collapsedLevelsAreSubtotals="1" fieldPosition="0">
        <references count="2">
          <reference field="0" count="1">
            <x v="33"/>
          </reference>
          <reference field="2" count="1" selected="0">
            <x v="19"/>
          </reference>
        </references>
      </pivotArea>
    </format>
    <format dxfId="13">
      <pivotArea collapsedLevelsAreSubtotals="1" fieldPosition="0">
        <references count="2">
          <reference field="0" count="1">
            <x v="36"/>
          </reference>
          <reference field="2" count="1" selected="0">
            <x v="19"/>
          </reference>
        </references>
      </pivotArea>
    </format>
    <format dxfId="12">
      <pivotArea collapsedLevelsAreSubtotals="1" fieldPosition="0">
        <references count="2">
          <reference field="0" count="3">
            <x v="37"/>
            <x v="38"/>
            <x v="39"/>
          </reference>
          <reference field="2" count="1" selected="0">
            <x v="19"/>
          </reference>
        </references>
      </pivotArea>
    </format>
    <format dxfId="11">
      <pivotArea collapsedLevelsAreSubtotals="1" fieldPosition="0">
        <references count="2">
          <reference field="0" count="1">
            <x v="53"/>
          </reference>
          <reference field="2" count="1" selected="0">
            <x v="19"/>
          </reference>
        </references>
      </pivotArea>
    </format>
    <format dxfId="10">
      <pivotArea collapsedLevelsAreSubtotals="1" fieldPosition="0">
        <references count="2">
          <reference field="0" count="1">
            <x v="65"/>
          </reference>
          <reference field="2" count="1" selected="0">
            <x v="19"/>
          </reference>
        </references>
      </pivotArea>
    </format>
    <format dxfId="9">
      <pivotArea collapsedLevelsAreSubtotals="1" fieldPosition="0">
        <references count="2">
          <reference field="0" count="1">
            <x v="2"/>
          </reference>
          <reference field="2" count="1" selected="0">
            <x v="19"/>
          </reference>
        </references>
      </pivotArea>
    </format>
    <format dxfId="8">
      <pivotArea collapsedLevelsAreSubtotals="1" fieldPosition="0">
        <references count="2">
          <reference field="0" count="1">
            <x v="61"/>
          </reference>
          <reference field="2" count="1" selected="0">
            <x v="19"/>
          </reference>
        </references>
      </pivotArea>
    </format>
    <format dxfId="7">
      <pivotArea collapsedLevelsAreSubtotals="1" fieldPosition="0">
        <references count="2">
          <reference field="0" count="3">
            <x v="54"/>
            <x v="55"/>
            <x v="56"/>
          </reference>
          <reference field="2" count="1" selected="0">
            <x v="19"/>
          </reference>
        </references>
      </pivotArea>
    </format>
    <format dxfId="6">
      <pivotArea collapsedLevelsAreSubtotals="1" fieldPosition="0">
        <references count="2">
          <reference field="0" count="1">
            <x v="50"/>
          </reference>
          <reference field="2" count="1" selected="0">
            <x v="19"/>
          </reference>
        </references>
      </pivotArea>
    </format>
    <format dxfId="5">
      <pivotArea collapsedLevelsAreSubtotals="1" fieldPosition="0">
        <references count="2">
          <reference field="0" count="1">
            <x v="35"/>
          </reference>
          <reference field="2" count="1" selected="0">
            <x v="19"/>
          </reference>
        </references>
      </pivotArea>
    </format>
    <format dxfId="4">
      <pivotArea collapsedLevelsAreSubtotals="1" fieldPosition="0">
        <references count="2">
          <reference field="0" count="1">
            <x v="66"/>
          </reference>
          <reference field="2" count="1" selected="0">
            <x v="19"/>
          </reference>
        </references>
      </pivotArea>
    </format>
    <format dxfId="3">
      <pivotArea collapsedLevelsAreSubtotals="1" fieldPosition="0">
        <references count="2">
          <reference field="0" count="1">
            <x v="48"/>
          </reference>
          <reference field="2" count="1" selected="0">
            <x v="19"/>
          </reference>
        </references>
      </pivotArea>
    </format>
    <format dxfId="2">
      <pivotArea collapsedLevelsAreSubtotals="1" fieldPosition="0">
        <references count="2">
          <reference field="0" count="1">
            <x v="27"/>
          </reference>
          <reference field="2" count="1" selected="0">
            <x v="19"/>
          </reference>
        </references>
      </pivotArea>
    </format>
    <format dxfId="1">
      <pivotArea collapsedLevelsAreSubtotals="1" fieldPosition="0">
        <references count="2">
          <reference field="0" count="1">
            <x v="0"/>
          </reference>
          <reference field="2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43E8F-0A52-6649-B53F-19FA199F8A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M23" firstHeaderRow="1" firstDataRow="3" firstDataCol="1"/>
  <pivotFields count="5">
    <pivotField axis="axisRow" showAll="0" sortType="ascending">
      <items count="8">
        <item x="1"/>
        <item x="2"/>
        <item x="0"/>
        <item x="4"/>
        <item x="3"/>
        <item x="6"/>
        <item x="5"/>
        <item t="default"/>
      </items>
    </pivotField>
    <pivotField axis="axisRow" showAll="0">
      <items count="9">
        <item x="0"/>
        <item x="2"/>
        <item x="4"/>
        <item x="6"/>
        <item x="5"/>
        <item x="7"/>
        <item x="3"/>
        <item x="1"/>
        <item t="default"/>
      </items>
    </pivotField>
    <pivotField dataField="1" numFmtId="8" showAll="0"/>
    <pivotField axis="axisCol"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7">
    <i>
      <x/>
    </i>
    <i r="1">
      <x v="7"/>
    </i>
    <i>
      <x v="1"/>
    </i>
    <i r="1">
      <x v="1"/>
    </i>
    <i>
      <x v="2"/>
    </i>
    <i r="1">
      <x/>
    </i>
    <i>
      <x v="3"/>
    </i>
    <i r="1">
      <x v="3"/>
    </i>
    <i>
      <x v="4"/>
    </i>
    <i r="1">
      <x v="2"/>
    </i>
    <i r="1">
      <x v="4"/>
    </i>
    <i r="1">
      <x v="6"/>
    </i>
    <i>
      <x v="5"/>
    </i>
    <i r="1">
      <x v="5"/>
    </i>
    <i>
      <x v="6"/>
    </i>
    <i r="1">
      <x v="3"/>
    </i>
    <i t="grand">
      <x/>
    </i>
  </rowItems>
  <colFields count="2">
    <field x="4"/>
    <field x="3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Valor" fld="2" baseField="0" baseItem="0" numFmtId="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C6665-AFF8-5C45-9C17-272941AF2A7F}" name="Table1" displayName="Table1" ref="A1:D18" totalsRowShown="0">
  <autoFilter ref="A1:D18" xr:uid="{81AC6665-AFF8-5C45-9C17-272941AF2A7F}"/>
  <tableColumns count="4">
    <tableColumn id="1" xr3:uid="{614548FF-F986-0844-BC11-CC6404DCFA5D}" name="Pessoas"/>
    <tableColumn id="2" xr3:uid="{47D474F5-DB09-A745-970C-2DCF0EC9A709}" name="Valor"/>
    <tableColumn id="3" xr3:uid="{B1EE529D-D8DB-8749-8B9F-2E71A9925C79}" name="Data de pagamento" dataDxfId="77"/>
    <tableColumn id="4" xr3:uid="{8B3FC46C-A225-3D4D-B502-92362B0047C4}" name="Mês de competencia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7248-31F4-ED4C-8871-4A1D1A2AC966}">
  <dimension ref="B2:Q43"/>
  <sheetViews>
    <sheetView topLeftCell="B4" zoomScale="140" zoomScaleNormal="140" workbookViewId="0">
      <selection activeCell="B22" sqref="B22"/>
    </sheetView>
  </sheetViews>
  <sheetFormatPr defaultColWidth="11.5" defaultRowHeight="15.75"/>
  <cols>
    <col min="2" max="2" width="25.625" bestFit="1" customWidth="1"/>
    <col min="3" max="3" width="14.375" bestFit="1" customWidth="1"/>
    <col min="4" max="4" width="20.375" bestFit="1" customWidth="1"/>
    <col min="5" max="5" width="14.125" bestFit="1" customWidth="1"/>
    <col min="6" max="6" width="13.5" customWidth="1"/>
    <col min="7" max="7" width="14.125" bestFit="1" customWidth="1"/>
    <col min="8" max="8" width="20.875" bestFit="1" customWidth="1"/>
    <col min="9" max="12" width="20.875" customWidth="1"/>
    <col min="13" max="13" width="24.625" bestFit="1" customWidth="1"/>
    <col min="14" max="14" width="13.625" bestFit="1" customWidth="1"/>
    <col min="16" max="16" width="12.125" bestFit="1" customWidth="1"/>
  </cols>
  <sheetData>
    <row r="2" spans="2:1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301</v>
      </c>
      <c r="J2" s="2" t="s">
        <v>307</v>
      </c>
      <c r="K2" s="2" t="s">
        <v>308</v>
      </c>
      <c r="L2" s="2" t="s">
        <v>306</v>
      </c>
      <c r="M2" s="2" t="s">
        <v>7</v>
      </c>
      <c r="N2" s="2"/>
      <c r="O2" s="2"/>
      <c r="P2" s="2"/>
      <c r="Q2" s="2"/>
    </row>
    <row r="4" spans="2:17">
      <c r="B4" t="s">
        <v>8</v>
      </c>
      <c r="C4" s="3">
        <v>44852</v>
      </c>
      <c r="D4" s="4" t="s">
        <v>9</v>
      </c>
      <c r="E4" s="5">
        <v>10000</v>
      </c>
      <c r="F4" s="5">
        <f>E4/168</f>
        <v>59.523809523809526</v>
      </c>
      <c r="G4" s="5">
        <v>14370</v>
      </c>
      <c r="H4" s="5">
        <f>G4/10</f>
        <v>1437</v>
      </c>
      <c r="I4" s="5"/>
      <c r="J4" s="5">
        <v>2000</v>
      </c>
      <c r="K4" s="5"/>
      <c r="L4" s="5">
        <f>E4+I4</f>
        <v>10000</v>
      </c>
      <c r="M4" t="s">
        <v>10</v>
      </c>
      <c r="P4" s="6"/>
    </row>
    <row r="5" spans="2:17">
      <c r="B5" t="s">
        <v>11</v>
      </c>
      <c r="C5" s="3">
        <v>44830</v>
      </c>
      <c r="D5" t="s">
        <v>12</v>
      </c>
      <c r="E5" s="5">
        <v>3000</v>
      </c>
      <c r="F5" s="5">
        <f t="shared" ref="F5:F23" si="0">E5/168</f>
        <v>17.857142857142858</v>
      </c>
      <c r="G5" s="5">
        <v>10899</v>
      </c>
      <c r="H5" s="5">
        <f>G5/10</f>
        <v>1089.9000000000001</v>
      </c>
      <c r="I5" s="5"/>
      <c r="J5" s="5">
        <v>2000</v>
      </c>
      <c r="K5" s="5"/>
      <c r="L5" s="5">
        <f>E5+I5+J5</f>
        <v>5000</v>
      </c>
      <c r="M5" t="s">
        <v>13</v>
      </c>
      <c r="N5" s="5"/>
    </row>
    <row r="6" spans="2:17" ht="17.100000000000001" customHeight="1">
      <c r="B6" t="s">
        <v>14</v>
      </c>
      <c r="C6" s="3">
        <v>45019</v>
      </c>
      <c r="D6" t="s">
        <v>15</v>
      </c>
      <c r="E6" s="5">
        <v>18000</v>
      </c>
      <c r="F6" s="5">
        <f t="shared" si="0"/>
        <v>107.14285714285714</v>
      </c>
      <c r="G6" s="5">
        <v>6259</v>
      </c>
      <c r="H6" s="5">
        <f t="shared" ref="H6:H23" si="1">G6/10</f>
        <v>625.9</v>
      </c>
      <c r="I6" s="5"/>
      <c r="J6" s="5"/>
      <c r="K6" s="5"/>
      <c r="L6" s="5">
        <f t="shared" ref="L6:L23" si="2">E6+I6</f>
        <v>18000</v>
      </c>
      <c r="M6" t="s">
        <v>16</v>
      </c>
    </row>
    <row r="7" spans="2:17">
      <c r="B7" t="s">
        <v>18</v>
      </c>
      <c r="C7" s="3">
        <v>45019</v>
      </c>
      <c r="D7" t="s">
        <v>12</v>
      </c>
      <c r="E7" s="5">
        <v>3000</v>
      </c>
      <c r="F7" s="5">
        <f t="shared" si="0"/>
        <v>17.857142857142858</v>
      </c>
      <c r="G7" s="5">
        <v>10899</v>
      </c>
      <c r="H7" s="5">
        <f t="shared" si="1"/>
        <v>1089.9000000000001</v>
      </c>
      <c r="I7" s="5"/>
      <c r="J7" s="5"/>
      <c r="K7" s="5"/>
      <c r="L7" s="5">
        <f t="shared" si="2"/>
        <v>3000</v>
      </c>
      <c r="M7" t="s">
        <v>13</v>
      </c>
    </row>
    <row r="8" spans="2:17">
      <c r="B8" t="s">
        <v>19</v>
      </c>
      <c r="C8" s="3">
        <v>44927</v>
      </c>
      <c r="D8" t="s">
        <v>20</v>
      </c>
      <c r="E8" s="5">
        <v>1200</v>
      </c>
      <c r="F8" s="5">
        <f t="shared" si="0"/>
        <v>7.1428571428571432</v>
      </c>
      <c r="G8" s="5"/>
      <c r="H8" s="5"/>
      <c r="I8" s="5"/>
      <c r="J8" s="5"/>
      <c r="K8" s="5"/>
      <c r="L8" s="5">
        <f t="shared" si="2"/>
        <v>1200</v>
      </c>
      <c r="M8" t="s">
        <v>20</v>
      </c>
    </row>
    <row r="9" spans="2:17">
      <c r="B9" s="217" t="s">
        <v>21</v>
      </c>
      <c r="C9" s="3">
        <v>45018</v>
      </c>
      <c r="D9" t="s">
        <v>9</v>
      </c>
      <c r="E9" s="5">
        <v>8000</v>
      </c>
      <c r="F9" s="5">
        <f t="shared" si="0"/>
        <v>47.61904761904762</v>
      </c>
      <c r="G9" s="5">
        <v>15200</v>
      </c>
      <c r="H9" s="5">
        <f>G9/10</f>
        <v>1520</v>
      </c>
      <c r="I9" s="5">
        <v>1500</v>
      </c>
      <c r="J9" s="5"/>
      <c r="K9" s="5"/>
      <c r="L9" s="5">
        <f t="shared" si="2"/>
        <v>9500</v>
      </c>
      <c r="M9" t="s">
        <v>22</v>
      </c>
    </row>
    <row r="10" spans="2:17">
      <c r="B10" s="216" t="s">
        <v>23</v>
      </c>
      <c r="C10" s="3">
        <v>45019</v>
      </c>
      <c r="D10" t="s">
        <v>9</v>
      </c>
      <c r="E10" s="5">
        <v>8000</v>
      </c>
      <c r="F10" s="5">
        <f t="shared" si="0"/>
        <v>47.61904761904762</v>
      </c>
      <c r="G10" s="5">
        <v>15200</v>
      </c>
      <c r="H10" s="5">
        <f>G10/10</f>
        <v>1520</v>
      </c>
      <c r="I10" s="5">
        <v>1500</v>
      </c>
      <c r="J10" s="5"/>
      <c r="K10" s="5"/>
      <c r="L10" s="5">
        <f t="shared" si="2"/>
        <v>9500</v>
      </c>
      <c r="M10" t="s">
        <v>22</v>
      </c>
    </row>
    <row r="11" spans="2:17">
      <c r="B11" t="s">
        <v>24</v>
      </c>
      <c r="C11" s="3">
        <v>45019</v>
      </c>
      <c r="D11" t="s">
        <v>9</v>
      </c>
      <c r="E11" s="5">
        <v>9000</v>
      </c>
      <c r="F11" s="5">
        <f t="shared" si="0"/>
        <v>53.571428571428569</v>
      </c>
      <c r="G11" s="5">
        <v>15200</v>
      </c>
      <c r="H11" s="5">
        <f>G11/10</f>
        <v>1520</v>
      </c>
      <c r="I11" s="5"/>
      <c r="J11" s="5"/>
      <c r="K11" s="5"/>
      <c r="L11" s="5">
        <f t="shared" si="2"/>
        <v>9000</v>
      </c>
      <c r="M11" t="s">
        <v>22</v>
      </c>
    </row>
    <row r="12" spans="2:17">
      <c r="B12" t="s">
        <v>227</v>
      </c>
      <c r="C12" s="3">
        <v>45019</v>
      </c>
      <c r="D12" t="s">
        <v>12</v>
      </c>
      <c r="E12" s="5">
        <v>6500</v>
      </c>
      <c r="F12" s="5">
        <f t="shared" si="0"/>
        <v>38.69047619047619</v>
      </c>
      <c r="G12" s="5">
        <v>6259</v>
      </c>
      <c r="H12" s="5">
        <f t="shared" ref="H12:H13" si="3">G12/10</f>
        <v>625.9</v>
      </c>
      <c r="I12" s="5"/>
      <c r="J12" s="5"/>
      <c r="K12" s="5"/>
      <c r="L12" s="5">
        <f t="shared" si="2"/>
        <v>6500</v>
      </c>
      <c r="M12" t="s">
        <v>230</v>
      </c>
    </row>
    <row r="13" spans="2:17">
      <c r="B13" s="216" t="s">
        <v>228</v>
      </c>
      <c r="C13" s="3">
        <v>45068</v>
      </c>
      <c r="D13" t="s">
        <v>229</v>
      </c>
      <c r="E13" s="5">
        <v>9000</v>
      </c>
      <c r="F13" s="5">
        <f t="shared" si="0"/>
        <v>53.571428571428569</v>
      </c>
      <c r="G13" s="5">
        <v>15500</v>
      </c>
      <c r="H13" s="5">
        <f t="shared" si="3"/>
        <v>1550</v>
      </c>
      <c r="I13" s="5">
        <v>1000</v>
      </c>
      <c r="J13" s="5"/>
      <c r="K13" s="5"/>
      <c r="L13" s="5">
        <f t="shared" si="2"/>
        <v>10000</v>
      </c>
      <c r="M13" t="s">
        <v>22</v>
      </c>
    </row>
    <row r="14" spans="2:17">
      <c r="B14" t="s">
        <v>25</v>
      </c>
      <c r="C14" s="3">
        <v>45007</v>
      </c>
      <c r="D14" t="s">
        <v>9</v>
      </c>
      <c r="E14" s="5">
        <v>13000</v>
      </c>
      <c r="F14" s="5">
        <f t="shared" si="0"/>
        <v>77.38095238095238</v>
      </c>
      <c r="G14" s="5">
        <v>5359</v>
      </c>
      <c r="H14" s="5">
        <f t="shared" si="1"/>
        <v>535.9</v>
      </c>
      <c r="I14" s="5"/>
      <c r="J14" s="5"/>
      <c r="K14" s="5"/>
      <c r="L14" s="5">
        <f t="shared" si="2"/>
        <v>13000</v>
      </c>
      <c r="M14" t="s">
        <v>16</v>
      </c>
    </row>
    <row r="15" spans="2:17">
      <c r="B15" t="s">
        <v>236</v>
      </c>
      <c r="C15" s="3">
        <v>45070</v>
      </c>
      <c r="D15" t="s">
        <v>20</v>
      </c>
      <c r="E15" s="5">
        <v>1200</v>
      </c>
      <c r="F15" s="5">
        <f t="shared" si="0"/>
        <v>7.1428571428571432</v>
      </c>
      <c r="G15" s="5"/>
      <c r="H15" s="5"/>
      <c r="I15" s="5"/>
      <c r="J15" s="5"/>
      <c r="K15" s="5"/>
      <c r="L15" s="5">
        <f t="shared" si="2"/>
        <v>1200</v>
      </c>
      <c r="M15" t="s">
        <v>238</v>
      </c>
    </row>
    <row r="16" spans="2:17">
      <c r="B16" t="s">
        <v>233</v>
      </c>
      <c r="C16" s="3">
        <v>45078</v>
      </c>
      <c r="D16" t="s">
        <v>9</v>
      </c>
      <c r="E16" s="5">
        <v>8850</v>
      </c>
      <c r="F16" s="5">
        <f t="shared" si="0"/>
        <v>52.678571428571431</v>
      </c>
      <c r="G16" s="5">
        <v>3514</v>
      </c>
      <c r="H16" s="5">
        <f t="shared" si="1"/>
        <v>351.4</v>
      </c>
      <c r="I16" s="5"/>
      <c r="J16" s="5"/>
      <c r="K16" s="5"/>
      <c r="L16" s="5">
        <f t="shared" si="2"/>
        <v>8850</v>
      </c>
      <c r="M16" t="s">
        <v>154</v>
      </c>
    </row>
    <row r="17" spans="2:17">
      <c r="B17" t="s">
        <v>231</v>
      </c>
      <c r="C17" s="3">
        <v>45047</v>
      </c>
      <c r="D17" t="s">
        <v>229</v>
      </c>
      <c r="E17" s="5">
        <v>15000</v>
      </c>
      <c r="F17" s="5">
        <f t="shared" si="0"/>
        <v>89.285714285714292</v>
      </c>
      <c r="G17" s="5"/>
      <c r="H17" s="5">
        <f t="shared" si="1"/>
        <v>0</v>
      </c>
      <c r="I17" s="5"/>
      <c r="J17" s="5"/>
      <c r="K17" s="5"/>
      <c r="L17" s="5">
        <f t="shared" si="2"/>
        <v>15000</v>
      </c>
      <c r="M17" t="s">
        <v>17</v>
      </c>
    </row>
    <row r="18" spans="2:17">
      <c r="B18" t="s">
        <v>253</v>
      </c>
      <c r="C18" s="3">
        <v>45096</v>
      </c>
      <c r="D18" t="s">
        <v>229</v>
      </c>
      <c r="E18" s="5">
        <v>16500</v>
      </c>
      <c r="F18" s="5">
        <f t="shared" si="0"/>
        <v>98.214285714285708</v>
      </c>
      <c r="G18" s="5">
        <v>6460</v>
      </c>
      <c r="H18" s="5">
        <f t="shared" si="1"/>
        <v>646</v>
      </c>
      <c r="I18" s="5"/>
      <c r="J18" s="5"/>
      <c r="K18" s="5"/>
      <c r="L18" s="5">
        <f t="shared" si="2"/>
        <v>16500</v>
      </c>
      <c r="M18" t="s">
        <v>16</v>
      </c>
    </row>
    <row r="19" spans="2:17">
      <c r="B19" t="s">
        <v>300</v>
      </c>
      <c r="C19" s="3">
        <v>45110</v>
      </c>
      <c r="D19" t="s">
        <v>229</v>
      </c>
      <c r="E19" s="5">
        <v>18000</v>
      </c>
      <c r="F19" s="5">
        <f t="shared" si="0"/>
        <v>107.14285714285714</v>
      </c>
      <c r="G19" s="5">
        <v>3389</v>
      </c>
      <c r="H19" s="5">
        <f t="shared" si="1"/>
        <v>338.9</v>
      </c>
      <c r="I19" s="5"/>
      <c r="J19" s="5"/>
      <c r="K19" s="5"/>
      <c r="L19" s="5">
        <f t="shared" si="2"/>
        <v>18000</v>
      </c>
      <c r="M19" t="s">
        <v>17</v>
      </c>
    </row>
    <row r="20" spans="2:17">
      <c r="B20" s="217" t="s">
        <v>304</v>
      </c>
      <c r="C20" s="3">
        <v>45110</v>
      </c>
      <c r="D20" t="s">
        <v>9</v>
      </c>
      <c r="E20" s="5">
        <v>9000</v>
      </c>
      <c r="F20" s="5">
        <f t="shared" si="0"/>
        <v>53.571428571428569</v>
      </c>
      <c r="G20" s="5">
        <v>15200</v>
      </c>
      <c r="H20" s="5">
        <f t="shared" si="1"/>
        <v>1520</v>
      </c>
      <c r="I20" s="5">
        <v>1500</v>
      </c>
      <c r="J20" s="5"/>
      <c r="K20" s="5"/>
      <c r="L20" s="5">
        <f t="shared" si="2"/>
        <v>10500</v>
      </c>
    </row>
    <row r="21" spans="2:17">
      <c r="B21" t="s">
        <v>302</v>
      </c>
      <c r="C21" s="3">
        <v>45110</v>
      </c>
      <c r="D21" t="s">
        <v>229</v>
      </c>
      <c r="E21" s="5">
        <v>14000</v>
      </c>
      <c r="F21" s="5">
        <f t="shared" si="0"/>
        <v>83.333333333333329</v>
      </c>
      <c r="G21" s="5">
        <v>14959</v>
      </c>
      <c r="H21" s="5">
        <f t="shared" si="1"/>
        <v>1495.9</v>
      </c>
      <c r="I21" s="5"/>
      <c r="J21" s="5"/>
      <c r="K21" s="5"/>
      <c r="L21" s="5">
        <f t="shared" si="2"/>
        <v>14000</v>
      </c>
    </row>
    <row r="22" spans="2:17">
      <c r="B22" t="s">
        <v>303</v>
      </c>
      <c r="C22" s="3">
        <v>45103</v>
      </c>
      <c r="D22" t="s">
        <v>229</v>
      </c>
      <c r="E22" s="5">
        <v>12000</v>
      </c>
      <c r="F22" s="5">
        <f t="shared" si="0"/>
        <v>71.428571428571431</v>
      </c>
      <c r="G22" s="5">
        <v>6600</v>
      </c>
      <c r="H22" s="5">
        <f t="shared" si="1"/>
        <v>660</v>
      </c>
      <c r="I22" s="5"/>
      <c r="J22" s="5"/>
      <c r="K22" s="5"/>
      <c r="L22" s="5">
        <f t="shared" si="2"/>
        <v>12000</v>
      </c>
    </row>
    <row r="23" spans="2:17">
      <c r="B23" t="s">
        <v>305</v>
      </c>
      <c r="C23" s="3">
        <v>45126</v>
      </c>
      <c r="D23" t="s">
        <v>229</v>
      </c>
      <c r="E23" s="5">
        <v>12000</v>
      </c>
      <c r="F23" s="5">
        <f t="shared" si="0"/>
        <v>71.428571428571431</v>
      </c>
      <c r="G23" s="5">
        <v>15500</v>
      </c>
      <c r="H23" s="5">
        <f t="shared" si="1"/>
        <v>1550</v>
      </c>
      <c r="I23" s="5"/>
      <c r="J23" s="5"/>
      <c r="K23" s="5"/>
      <c r="L23" s="5">
        <f t="shared" si="2"/>
        <v>12000</v>
      </c>
    </row>
    <row r="24" spans="2:17">
      <c r="B24" t="s">
        <v>26</v>
      </c>
      <c r="C24" s="1"/>
      <c r="E24" s="5"/>
      <c r="F24" s="5">
        <v>0</v>
      </c>
      <c r="G24" s="5">
        <v>0</v>
      </c>
      <c r="H24" s="5">
        <v>0</v>
      </c>
      <c r="I24" s="5"/>
      <c r="J24" s="5"/>
      <c r="K24" s="5"/>
      <c r="L24" s="5"/>
      <c r="N24" s="5">
        <v>320</v>
      </c>
      <c r="O24" s="5"/>
      <c r="P24" s="5"/>
      <c r="Q24" s="5"/>
    </row>
    <row r="25" spans="2:17">
      <c r="B25" t="s">
        <v>27</v>
      </c>
      <c r="E25" s="5"/>
      <c r="F25" s="5">
        <v>148.8095238095238</v>
      </c>
      <c r="G25" s="5">
        <v>7500</v>
      </c>
      <c r="H25" s="5">
        <f>G25/10</f>
        <v>750</v>
      </c>
      <c r="I25" s="5"/>
      <c r="J25" s="5"/>
      <c r="K25" s="5"/>
      <c r="L25" s="5"/>
      <c r="N25" s="5">
        <v>320</v>
      </c>
      <c r="O25" s="5"/>
      <c r="P25" s="5"/>
      <c r="Q25" s="5"/>
    </row>
    <row r="26" spans="2:17">
      <c r="B26" t="s">
        <v>28</v>
      </c>
      <c r="D26" s="6"/>
      <c r="E26" s="5">
        <v>18000</v>
      </c>
      <c r="F26" s="5">
        <v>119.04761904761905</v>
      </c>
      <c r="G26" s="5">
        <v>7500</v>
      </c>
      <c r="H26" s="5">
        <f t="shared" ref="H26:H39" si="4">G26/10</f>
        <v>750</v>
      </c>
      <c r="I26" s="5"/>
      <c r="J26" s="5"/>
      <c r="K26" s="5"/>
      <c r="L26" s="5"/>
      <c r="N26" s="5">
        <v>260</v>
      </c>
      <c r="O26" s="5"/>
      <c r="P26" s="5"/>
      <c r="Q26" s="5"/>
    </row>
    <row r="27" spans="2:17">
      <c r="B27" t="s">
        <v>29</v>
      </c>
      <c r="D27" s="6"/>
      <c r="E27" s="5">
        <v>13000</v>
      </c>
      <c r="F27" s="5">
        <v>71.428571428571431</v>
      </c>
      <c r="G27" s="5">
        <v>7500</v>
      </c>
      <c r="H27" s="5">
        <f t="shared" si="4"/>
        <v>750</v>
      </c>
      <c r="I27" s="5"/>
      <c r="J27" s="5"/>
      <c r="K27" s="5"/>
      <c r="L27" s="5"/>
      <c r="N27" s="5">
        <v>200</v>
      </c>
      <c r="O27" s="5"/>
      <c r="P27" s="5"/>
      <c r="Q27" s="5"/>
    </row>
    <row r="28" spans="2:17">
      <c r="B28" t="s">
        <v>30</v>
      </c>
      <c r="D28" s="6"/>
      <c r="E28" s="5">
        <v>15000</v>
      </c>
      <c r="F28" s="5">
        <v>71.428571428571431</v>
      </c>
      <c r="G28" s="5">
        <v>10899</v>
      </c>
      <c r="H28" s="5">
        <f t="shared" si="4"/>
        <v>1089.9000000000001</v>
      </c>
      <c r="I28" s="5"/>
      <c r="J28" s="5"/>
      <c r="K28" s="5"/>
      <c r="L28" s="5"/>
      <c r="N28" s="5">
        <v>200</v>
      </c>
      <c r="O28" s="5"/>
      <c r="P28" s="5"/>
      <c r="Q28" s="5"/>
    </row>
    <row r="29" spans="2:17">
      <c r="B29" t="s">
        <v>31</v>
      </c>
      <c r="D29" s="6"/>
      <c r="E29" s="5">
        <v>10000</v>
      </c>
      <c r="F29" s="5">
        <v>50.595238095238095</v>
      </c>
      <c r="G29" s="5">
        <v>10899</v>
      </c>
      <c r="H29" s="5">
        <f t="shared" si="4"/>
        <v>1089.9000000000001</v>
      </c>
      <c r="I29" s="5"/>
      <c r="J29" s="5"/>
      <c r="K29" s="5"/>
      <c r="L29" s="5"/>
      <c r="N29" s="5">
        <v>170</v>
      </c>
      <c r="O29" s="5"/>
      <c r="P29" s="5"/>
      <c r="Q29" s="5"/>
    </row>
    <row r="30" spans="2:17">
      <c r="B30" t="s">
        <v>32</v>
      </c>
      <c r="D30" s="6"/>
      <c r="E30" s="5">
        <v>5000</v>
      </c>
      <c r="F30" s="5">
        <v>38.69047619047619</v>
      </c>
      <c r="G30" s="5">
        <v>10899</v>
      </c>
      <c r="H30" s="5">
        <f t="shared" si="4"/>
        <v>1089.9000000000001</v>
      </c>
      <c r="I30" s="5"/>
      <c r="J30" s="5"/>
      <c r="K30" s="5"/>
      <c r="L30" s="5"/>
      <c r="N30" s="5">
        <v>130</v>
      </c>
      <c r="O30" s="5"/>
      <c r="P30" s="5"/>
      <c r="Q30" s="5"/>
    </row>
    <row r="31" spans="2:17">
      <c r="B31" t="s">
        <v>33</v>
      </c>
      <c r="D31" s="6"/>
      <c r="E31" s="5">
        <v>15000</v>
      </c>
      <c r="F31" s="5">
        <v>71.428571428571431</v>
      </c>
      <c r="G31" s="5">
        <v>14370</v>
      </c>
      <c r="H31" s="5">
        <f t="shared" si="4"/>
        <v>1437</v>
      </c>
      <c r="I31" s="5"/>
      <c r="J31" s="5"/>
      <c r="K31" s="5"/>
      <c r="L31" s="5"/>
      <c r="N31" s="5">
        <v>170</v>
      </c>
      <c r="O31" s="5"/>
      <c r="P31" s="5"/>
      <c r="Q31" s="5"/>
    </row>
    <row r="32" spans="2:17">
      <c r="B32" t="s">
        <v>34</v>
      </c>
      <c r="D32" s="6"/>
      <c r="E32" s="5">
        <v>10000</v>
      </c>
      <c r="F32" s="5">
        <v>50.595238095238095</v>
      </c>
      <c r="G32" s="5">
        <v>14370</v>
      </c>
      <c r="H32" s="5">
        <f t="shared" si="4"/>
        <v>1437</v>
      </c>
      <c r="I32" s="5"/>
      <c r="J32" s="5"/>
      <c r="K32" s="5"/>
      <c r="L32" s="5"/>
      <c r="N32" s="5">
        <v>150</v>
      </c>
      <c r="O32" s="5"/>
      <c r="P32" s="5"/>
      <c r="Q32" s="5"/>
    </row>
    <row r="33" spans="2:17">
      <c r="B33" t="s">
        <v>35</v>
      </c>
      <c r="D33" s="6"/>
      <c r="E33" s="5">
        <v>5000</v>
      </c>
      <c r="F33" s="5">
        <v>38.69047619047619</v>
      </c>
      <c r="G33" s="5">
        <v>14370</v>
      </c>
      <c r="H33" s="5">
        <f t="shared" si="4"/>
        <v>1437</v>
      </c>
      <c r="I33" s="5"/>
      <c r="J33" s="5"/>
      <c r="K33" s="5"/>
      <c r="L33" s="5"/>
      <c r="N33" s="5">
        <v>130</v>
      </c>
      <c r="O33" s="5"/>
      <c r="P33" s="5"/>
      <c r="Q33" s="5"/>
    </row>
    <row r="34" spans="2:17">
      <c r="B34" t="s">
        <v>36</v>
      </c>
      <c r="D34" s="6"/>
      <c r="E34" s="5">
        <v>18000</v>
      </c>
      <c r="F34" s="5">
        <v>71.428571428571431</v>
      </c>
      <c r="G34" s="5">
        <v>14370</v>
      </c>
      <c r="H34" s="5">
        <f t="shared" si="4"/>
        <v>1437</v>
      </c>
      <c r="I34" s="5"/>
      <c r="J34" s="5"/>
      <c r="K34" s="5"/>
      <c r="L34" s="5"/>
      <c r="N34" s="5">
        <v>260</v>
      </c>
      <c r="O34" s="5"/>
      <c r="P34" s="5"/>
      <c r="Q34" s="5"/>
    </row>
    <row r="35" spans="2:17">
      <c r="B35" t="s">
        <v>37</v>
      </c>
      <c r="D35" s="6"/>
      <c r="E35" s="5">
        <v>5000</v>
      </c>
      <c r="F35" s="5">
        <v>38.69047619047619</v>
      </c>
      <c r="G35" s="5">
        <v>14370</v>
      </c>
      <c r="H35" s="5">
        <f t="shared" si="4"/>
        <v>1437</v>
      </c>
      <c r="I35" s="5"/>
      <c r="J35" s="5"/>
      <c r="K35" s="5"/>
      <c r="L35" s="5"/>
      <c r="N35" s="5">
        <v>130</v>
      </c>
      <c r="O35" s="5"/>
      <c r="P35" s="5"/>
      <c r="Q35" s="5"/>
    </row>
    <row r="36" spans="2:17">
      <c r="B36" t="s">
        <v>38</v>
      </c>
      <c r="D36" s="6"/>
      <c r="E36" s="5">
        <v>10000</v>
      </c>
      <c r="F36" s="5">
        <v>50.595238095238095</v>
      </c>
      <c r="G36" s="5">
        <v>14370</v>
      </c>
      <c r="H36" s="5">
        <f t="shared" si="4"/>
        <v>1437</v>
      </c>
      <c r="I36" s="5"/>
      <c r="J36" s="5"/>
      <c r="K36" s="5"/>
      <c r="L36" s="5"/>
      <c r="N36" s="5">
        <v>160</v>
      </c>
      <c r="O36" s="5"/>
      <c r="P36" s="5"/>
      <c r="Q36" s="5"/>
    </row>
    <row r="37" spans="2:17">
      <c r="B37" t="s">
        <v>39</v>
      </c>
      <c r="D37" s="6"/>
      <c r="E37" s="5">
        <v>15000</v>
      </c>
      <c r="F37" s="5">
        <v>71.428571428571431</v>
      </c>
      <c r="G37" s="5">
        <v>14370</v>
      </c>
      <c r="H37" s="5">
        <f t="shared" si="4"/>
        <v>1437</v>
      </c>
      <c r="I37" s="5"/>
      <c r="J37" s="5"/>
      <c r="K37" s="5"/>
      <c r="L37" s="5"/>
      <c r="N37" s="5">
        <v>180</v>
      </c>
      <c r="O37" s="5"/>
      <c r="P37" s="5"/>
      <c r="Q37" s="5"/>
    </row>
    <row r="38" spans="2:17">
      <c r="B38" t="s">
        <v>40</v>
      </c>
      <c r="D38" s="6"/>
      <c r="E38" s="5">
        <v>18000</v>
      </c>
      <c r="F38" s="5">
        <v>119.04761904761905</v>
      </c>
      <c r="G38" s="5">
        <v>14370</v>
      </c>
      <c r="H38" s="5">
        <f t="shared" si="4"/>
        <v>1437</v>
      </c>
      <c r="I38" s="5"/>
      <c r="J38" s="5"/>
      <c r="K38" s="5"/>
      <c r="L38" s="5"/>
      <c r="N38" s="5">
        <v>240</v>
      </c>
      <c r="O38" s="5"/>
      <c r="P38" s="5"/>
      <c r="Q38" s="5"/>
    </row>
    <row r="39" spans="2:17">
      <c r="B39" t="s">
        <v>41</v>
      </c>
      <c r="D39" s="6"/>
      <c r="E39" s="5">
        <v>23000</v>
      </c>
      <c r="F39" s="5">
        <v>148.8095238095238</v>
      </c>
      <c r="G39" s="5">
        <v>7500</v>
      </c>
      <c r="H39" s="5">
        <f t="shared" si="4"/>
        <v>750</v>
      </c>
      <c r="I39" s="5"/>
      <c r="J39" s="5"/>
      <c r="K39" s="5"/>
      <c r="L39" s="5"/>
      <c r="N39" s="5">
        <v>320</v>
      </c>
      <c r="O39" s="5"/>
      <c r="P39" s="5"/>
      <c r="Q39" s="5"/>
    </row>
    <row r="40" spans="2:17">
      <c r="E40" s="5"/>
      <c r="F40" s="5"/>
      <c r="G40" s="5"/>
      <c r="H40" s="5"/>
      <c r="I40" s="5"/>
      <c r="J40" s="5"/>
      <c r="K40" s="5"/>
      <c r="L40" s="5"/>
      <c r="N40" s="5"/>
      <c r="O40" s="5"/>
      <c r="P40" s="5"/>
      <c r="Q40" s="5"/>
    </row>
    <row r="41" spans="2:17">
      <c r="E41" s="5"/>
      <c r="F41" s="5"/>
      <c r="G41" s="5"/>
      <c r="H41" s="5"/>
      <c r="I41" s="5"/>
      <c r="J41" s="5"/>
      <c r="K41" s="5"/>
      <c r="L41" s="5"/>
    </row>
    <row r="42" spans="2:17">
      <c r="E42" s="5"/>
      <c r="F42" s="5"/>
      <c r="G42" s="5"/>
      <c r="H42" s="5"/>
      <c r="I42" s="5"/>
      <c r="J42" s="5"/>
      <c r="K42" s="5"/>
      <c r="L42" s="5"/>
    </row>
    <row r="43" spans="2:17">
      <c r="G43" s="7"/>
    </row>
  </sheetData>
  <phoneticPr fontId="2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4992-EEDC-B643-92FF-0B7F5160D20E}">
  <dimension ref="A1:AJ669"/>
  <sheetViews>
    <sheetView zoomScale="150" zoomScaleNormal="150" workbookViewId="0">
      <selection activeCell="G25" sqref="G25"/>
    </sheetView>
  </sheetViews>
  <sheetFormatPr defaultColWidth="14.5" defaultRowHeight="15" customHeight="1" outlineLevelRow="1"/>
  <cols>
    <col min="1" max="1" width="30" customWidth="1"/>
    <col min="2" max="14" width="12.875" customWidth="1"/>
    <col min="17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 ht="15.75">
      <c r="A2" s="11" t="s">
        <v>51</v>
      </c>
      <c r="B2" s="12">
        <v>10820</v>
      </c>
      <c r="C2" s="12">
        <v>7140</v>
      </c>
      <c r="D2" s="12">
        <v>3480</v>
      </c>
      <c r="E2" s="12">
        <v>5160</v>
      </c>
      <c r="F2" s="12">
        <f>4800+6500</f>
        <v>11300</v>
      </c>
      <c r="G2" s="12">
        <f t="shared" ref="G2:H2" si="0">4800+6500</f>
        <v>11300</v>
      </c>
      <c r="H2" s="12">
        <f t="shared" si="0"/>
        <v>11300</v>
      </c>
      <c r="I2" s="12">
        <v>4800</v>
      </c>
      <c r="J2" s="12">
        <v>4800</v>
      </c>
      <c r="K2" s="12">
        <v>4800</v>
      </c>
      <c r="L2" s="12">
        <v>4800</v>
      </c>
      <c r="M2" s="12">
        <v>4800</v>
      </c>
      <c r="N2" s="12">
        <v>0</v>
      </c>
      <c r="O2" s="12">
        <f>SUM(B2:N2)</f>
        <v>84500</v>
      </c>
    </row>
    <row r="3" spans="1:36" ht="16.5" customHeight="1">
      <c r="A3" s="13" t="s">
        <v>52</v>
      </c>
      <c r="B3" s="14">
        <f>B2*(1-B5)</f>
        <v>10170.799999999999</v>
      </c>
      <c r="C3" s="14">
        <f t="shared" ref="C3:M3" si="1">C2*(1-C5)</f>
        <v>6711.5999999999995</v>
      </c>
      <c r="D3" s="14">
        <f t="shared" si="1"/>
        <v>3271.2</v>
      </c>
      <c r="E3" s="14">
        <f t="shared" si="1"/>
        <v>4850.3999999999996</v>
      </c>
      <c r="F3" s="14">
        <f t="shared" si="1"/>
        <v>10622</v>
      </c>
      <c r="G3" s="14">
        <f t="shared" si="1"/>
        <v>10622</v>
      </c>
      <c r="H3" s="14">
        <f t="shared" si="1"/>
        <v>10622</v>
      </c>
      <c r="I3" s="14">
        <f t="shared" si="1"/>
        <v>4512</v>
      </c>
      <c r="J3" s="14">
        <f t="shared" si="1"/>
        <v>4512</v>
      </c>
      <c r="K3" s="14">
        <f t="shared" si="1"/>
        <v>4512</v>
      </c>
      <c r="L3" s="14">
        <f t="shared" si="1"/>
        <v>4512</v>
      </c>
      <c r="M3" s="14">
        <f t="shared" si="1"/>
        <v>4512</v>
      </c>
      <c r="N3" s="14">
        <v>0</v>
      </c>
      <c r="O3" s="12">
        <f>SUM(B3:M3)</f>
        <v>79430</v>
      </c>
    </row>
    <row r="4" spans="1:36" ht="9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6.5" customHeight="1">
      <c r="A5" s="18" t="s">
        <v>45</v>
      </c>
      <c r="B5" s="19">
        <v>0.06</v>
      </c>
      <c r="C5" s="19">
        <v>0.06</v>
      </c>
      <c r="D5" s="19">
        <v>0.06</v>
      </c>
      <c r="E5" s="19">
        <v>0.06</v>
      </c>
      <c r="F5" s="19">
        <v>0.06</v>
      </c>
      <c r="G5" s="19">
        <v>0.06</v>
      </c>
      <c r="H5" s="19">
        <v>0.06</v>
      </c>
      <c r="I5" s="19">
        <v>0.06</v>
      </c>
      <c r="J5" s="19">
        <v>0.06</v>
      </c>
      <c r="K5" s="19">
        <v>0.06</v>
      </c>
      <c r="L5" s="19">
        <v>0.06</v>
      </c>
      <c r="M5" s="19">
        <v>0.06</v>
      </c>
      <c r="N5" s="19">
        <v>0.06</v>
      </c>
      <c r="O5" s="20"/>
      <c r="P5" s="21"/>
    </row>
    <row r="6" spans="1:36" ht="9" customHeight="1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36" ht="16.5" customHeight="1">
      <c r="A7" s="18" t="s">
        <v>46</v>
      </c>
      <c r="B7" s="9">
        <v>44927</v>
      </c>
      <c r="C7" s="9">
        <v>44958</v>
      </c>
      <c r="D7" s="9">
        <v>44986</v>
      </c>
      <c r="E7" s="9">
        <v>45017</v>
      </c>
      <c r="F7" s="9">
        <v>45047</v>
      </c>
      <c r="G7" s="9">
        <v>45078</v>
      </c>
      <c r="H7" s="9">
        <v>45108</v>
      </c>
      <c r="I7" s="9">
        <v>45139</v>
      </c>
      <c r="J7" s="9">
        <v>45170</v>
      </c>
      <c r="K7" s="9">
        <v>45200</v>
      </c>
      <c r="L7" s="9">
        <v>45231</v>
      </c>
      <c r="M7" s="9">
        <v>45261</v>
      </c>
      <c r="N7" s="9">
        <v>45292</v>
      </c>
      <c r="O7" s="10" t="s">
        <v>43</v>
      </c>
    </row>
    <row r="8" spans="1:36" ht="16.5" customHeight="1">
      <c r="A8" s="23" t="str">
        <f>A3</f>
        <v>Cuponi - Receita liquida</v>
      </c>
      <c r="B8" s="24">
        <f>B14</f>
        <v>-13000</v>
      </c>
      <c r="C8" s="24">
        <f>C14</f>
        <v>-13220</v>
      </c>
      <c r="D8" s="24">
        <f>D14</f>
        <v>-11036</v>
      </c>
      <c r="E8" s="24">
        <f t="shared" ref="E8:M8" si="2">E14</f>
        <v>-1184</v>
      </c>
      <c r="F8" s="24">
        <f t="shared" si="2"/>
        <v>-1560</v>
      </c>
      <c r="G8" s="24">
        <f t="shared" si="2"/>
        <v>-9300</v>
      </c>
      <c r="H8" s="24">
        <f t="shared" si="2"/>
        <v>-9300</v>
      </c>
      <c r="I8" s="24">
        <f t="shared" si="2"/>
        <v>-9300</v>
      </c>
      <c r="J8" s="24">
        <f t="shared" si="2"/>
        <v>-2800</v>
      </c>
      <c r="K8" s="24">
        <f t="shared" si="2"/>
        <v>-2800</v>
      </c>
      <c r="L8" s="24">
        <f t="shared" si="2"/>
        <v>-2800</v>
      </c>
      <c r="M8" s="24">
        <f t="shared" si="2"/>
        <v>-2800</v>
      </c>
      <c r="N8" s="24">
        <f>N14</f>
        <v>-2800</v>
      </c>
      <c r="O8" s="25">
        <f>SUM(D8:N8)</f>
        <v>-55680</v>
      </c>
    </row>
    <row r="9" spans="1:36" ht="16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36" ht="16.5" customHeight="1">
      <c r="A10" s="27" t="s">
        <v>47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</row>
    <row r="11" spans="1:36" ht="16.5" customHeight="1">
      <c r="A11" s="28" t="str">
        <f>A3</f>
        <v>Cuponi - Receita liquida</v>
      </c>
      <c r="B11" s="29">
        <f>B3+B8</f>
        <v>-2829.2000000000007</v>
      </c>
      <c r="C11" s="29">
        <f t="shared" ref="C11:M11" si="3">C3+C8</f>
        <v>-6508.4000000000005</v>
      </c>
      <c r="D11" s="29">
        <f t="shared" si="3"/>
        <v>-7764.8</v>
      </c>
      <c r="E11" s="29">
        <f t="shared" si="3"/>
        <v>3666.3999999999996</v>
      </c>
      <c r="F11" s="29">
        <f t="shared" si="3"/>
        <v>9062</v>
      </c>
      <c r="G11" s="29">
        <f t="shared" si="3"/>
        <v>1322</v>
      </c>
      <c r="H11" s="29">
        <f t="shared" si="3"/>
        <v>1322</v>
      </c>
      <c r="I11" s="29">
        <f t="shared" si="3"/>
        <v>-4788</v>
      </c>
      <c r="J11" s="29">
        <f t="shared" si="3"/>
        <v>1712</v>
      </c>
      <c r="K11" s="29">
        <f t="shared" si="3"/>
        <v>1712</v>
      </c>
      <c r="L11" s="29">
        <f t="shared" si="3"/>
        <v>1712</v>
      </c>
      <c r="M11" s="29">
        <f t="shared" si="3"/>
        <v>1712</v>
      </c>
      <c r="N11" s="29">
        <f>N3+N8</f>
        <v>-2800</v>
      </c>
      <c r="O11" s="30">
        <f>SUM(D11:N11)</f>
        <v>6867.5999999999985</v>
      </c>
    </row>
    <row r="12" spans="1:36" ht="16.5" customHeight="1">
      <c r="A12" s="26"/>
      <c r="B12" s="43">
        <f>B11/B3</f>
        <v>-0.27816887560467229</v>
      </c>
      <c r="C12" s="43">
        <f t="shared" ref="C12:N12" si="4">C11/C3</f>
        <v>-0.96972405983670085</v>
      </c>
      <c r="D12" s="43">
        <f t="shared" si="4"/>
        <v>-2.3736854976766937</v>
      </c>
      <c r="E12" s="43">
        <f t="shared" si="4"/>
        <v>0.7558964209137391</v>
      </c>
      <c r="F12" s="43">
        <f t="shared" si="4"/>
        <v>0.85313500282432686</v>
      </c>
      <c r="G12" s="43">
        <f t="shared" si="4"/>
        <v>0.12445867068348711</v>
      </c>
      <c r="H12" s="43">
        <f t="shared" si="4"/>
        <v>0.12445867068348711</v>
      </c>
      <c r="I12" s="43">
        <f t="shared" si="4"/>
        <v>-1.0611702127659575</v>
      </c>
      <c r="J12" s="43">
        <f t="shared" si="4"/>
        <v>0.37943262411347517</v>
      </c>
      <c r="K12" s="43">
        <f t="shared" si="4"/>
        <v>0.37943262411347517</v>
      </c>
      <c r="L12" s="43">
        <f t="shared" si="4"/>
        <v>0.37943262411347517</v>
      </c>
      <c r="M12" s="43">
        <f t="shared" si="4"/>
        <v>0.37943262411347517</v>
      </c>
      <c r="N12" s="43" t="e">
        <f t="shared" si="4"/>
        <v>#DIV/0!</v>
      </c>
      <c r="O12" s="31"/>
    </row>
    <row r="13" spans="1:36" ht="21" customHeight="1">
      <c r="A13" s="26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</row>
    <row r="14" spans="1:36" ht="15.75" customHeight="1">
      <c r="A14" s="18" t="str">
        <f>A8</f>
        <v>Cuponi - Receita liquida</v>
      </c>
      <c r="B14" s="37">
        <f>B15+B19+B21</f>
        <v>-13000</v>
      </c>
      <c r="C14" s="37">
        <f t="shared" ref="C14:O14" si="5">C15+C19+C21</f>
        <v>-13220</v>
      </c>
      <c r="D14" s="37">
        <f t="shared" si="5"/>
        <v>-11036</v>
      </c>
      <c r="E14" s="37">
        <f t="shared" si="5"/>
        <v>-1184</v>
      </c>
      <c r="F14" s="37">
        <f t="shared" si="5"/>
        <v>-1560</v>
      </c>
      <c r="G14" s="37">
        <f t="shared" si="5"/>
        <v>-9300</v>
      </c>
      <c r="H14" s="37">
        <f t="shared" si="5"/>
        <v>-9300</v>
      </c>
      <c r="I14" s="37">
        <f t="shared" si="5"/>
        <v>-9300</v>
      </c>
      <c r="J14" s="37">
        <f t="shared" si="5"/>
        <v>-2800</v>
      </c>
      <c r="K14" s="37">
        <f t="shared" si="5"/>
        <v>-2800</v>
      </c>
      <c r="L14" s="37">
        <f t="shared" si="5"/>
        <v>-2800</v>
      </c>
      <c r="M14" s="37">
        <f t="shared" si="5"/>
        <v>-2800</v>
      </c>
      <c r="N14" s="37">
        <f t="shared" si="5"/>
        <v>-2800</v>
      </c>
      <c r="O14" s="37">
        <f t="shared" si="5"/>
        <v>-55680</v>
      </c>
    </row>
    <row r="15" spans="1:36" ht="15.75" customHeight="1">
      <c r="A15" s="34" t="s">
        <v>232</v>
      </c>
      <c r="B15" s="38">
        <f>SUM(B16:B18)</f>
        <v>-10000</v>
      </c>
      <c r="C15" s="38">
        <f t="shared" ref="C15:N15" si="6">SUM(C16:C18)</f>
        <v>-10220</v>
      </c>
      <c r="D15" s="38">
        <f t="shared" si="6"/>
        <v>-11036</v>
      </c>
      <c r="E15" s="38">
        <f t="shared" si="6"/>
        <v>-1184</v>
      </c>
      <c r="F15" s="38">
        <f t="shared" si="6"/>
        <v>-1560</v>
      </c>
      <c r="G15" s="38">
        <f t="shared" si="6"/>
        <v>-9300</v>
      </c>
      <c r="H15" s="38">
        <f t="shared" si="6"/>
        <v>-9300</v>
      </c>
      <c r="I15" s="38">
        <f t="shared" si="6"/>
        <v>-9300</v>
      </c>
      <c r="J15" s="38">
        <f t="shared" si="6"/>
        <v>-2800</v>
      </c>
      <c r="K15" s="38">
        <f t="shared" si="6"/>
        <v>-2800</v>
      </c>
      <c r="L15" s="38">
        <f t="shared" si="6"/>
        <v>-2800</v>
      </c>
      <c r="M15" s="38">
        <f t="shared" si="6"/>
        <v>-2800</v>
      </c>
      <c r="N15" s="38">
        <f t="shared" si="6"/>
        <v>-2800</v>
      </c>
      <c r="O15" s="38">
        <f>SUM(D15:N15)</f>
        <v>-55680</v>
      </c>
    </row>
    <row r="16" spans="1:36" ht="15.75" customHeight="1" outlineLevel="1">
      <c r="A16" s="35" t="s">
        <v>8</v>
      </c>
      <c r="B16" s="40">
        <f>-VLOOKUP($A$16,'ZH02'!$B:$N,4,0)</f>
        <v>-10000</v>
      </c>
      <c r="C16" s="40">
        <f>-VLOOKUP($A$16,'ZH02'!$B:$N,4,0)</f>
        <v>-10000</v>
      </c>
      <c r="D16" s="40">
        <f>-VLOOKUP($A$16,'ZH02'!$B:$N,4,0)</f>
        <v>-10000</v>
      </c>
      <c r="E16" s="40"/>
      <c r="F16" s="40">
        <v>-780</v>
      </c>
      <c r="G16" s="40">
        <f t="shared" ref="G16:N16" si="7">-65*20</f>
        <v>-1300</v>
      </c>
      <c r="H16" s="40">
        <f t="shared" si="7"/>
        <v>-1300</v>
      </c>
      <c r="I16" s="40">
        <f t="shared" si="7"/>
        <v>-1300</v>
      </c>
      <c r="J16" s="40">
        <f t="shared" si="7"/>
        <v>-1300</v>
      </c>
      <c r="K16" s="40">
        <f t="shared" si="7"/>
        <v>-1300</v>
      </c>
      <c r="L16" s="40">
        <f t="shared" si="7"/>
        <v>-1300</v>
      </c>
      <c r="M16" s="40">
        <f t="shared" si="7"/>
        <v>-1300</v>
      </c>
      <c r="N16" s="40">
        <f t="shared" si="7"/>
        <v>-1300</v>
      </c>
      <c r="O16" s="38"/>
    </row>
    <row r="17" spans="1:15" ht="15.75" customHeight="1" outlineLevel="1">
      <c r="A17" s="35" t="s">
        <v>227</v>
      </c>
      <c r="B17" s="40"/>
      <c r="C17" s="40"/>
      <c r="D17" s="40"/>
      <c r="E17" s="40"/>
      <c r="F17" s="40"/>
      <c r="G17" s="40">
        <f>-VLOOKUP($A$17,'ZH02'!$B:$N,4,0)</f>
        <v>-6500</v>
      </c>
      <c r="H17" s="40">
        <f>-VLOOKUP($A$17,'ZH02'!$B:$N,4,0)</f>
        <v>-6500</v>
      </c>
      <c r="I17" s="40">
        <f>-VLOOKUP($A$17,'ZH02'!$B:$N,4,0)</f>
        <v>-6500</v>
      </c>
      <c r="J17" s="40"/>
      <c r="K17" s="40"/>
      <c r="L17" s="40"/>
      <c r="M17" s="40"/>
      <c r="N17" s="40"/>
      <c r="O17" s="38"/>
    </row>
    <row r="18" spans="1:15" ht="15.75" customHeight="1" outlineLevel="1">
      <c r="A18" s="35" t="s">
        <v>25</v>
      </c>
      <c r="B18" s="40"/>
      <c r="C18" s="40">
        <v>-220</v>
      </c>
      <c r="D18" s="40">
        <v>-1036</v>
      </c>
      <c r="E18" s="40">
        <v>-1184</v>
      </c>
      <c r="F18" s="40">
        <v>-780</v>
      </c>
      <c r="G18" s="40">
        <f t="shared" ref="G18:N18" si="8">-75*20</f>
        <v>-1500</v>
      </c>
      <c r="H18" s="40">
        <f t="shared" si="8"/>
        <v>-1500</v>
      </c>
      <c r="I18" s="40">
        <f t="shared" si="8"/>
        <v>-1500</v>
      </c>
      <c r="J18" s="40">
        <f t="shared" si="8"/>
        <v>-1500</v>
      </c>
      <c r="K18" s="40">
        <f t="shared" si="8"/>
        <v>-1500</v>
      </c>
      <c r="L18" s="40">
        <f t="shared" si="8"/>
        <v>-1500</v>
      </c>
      <c r="M18" s="40">
        <f t="shared" si="8"/>
        <v>-1500</v>
      </c>
      <c r="N18" s="40">
        <f t="shared" si="8"/>
        <v>-1500</v>
      </c>
      <c r="O18" s="38"/>
    </row>
    <row r="19" spans="1:15" ht="15.75" customHeight="1">
      <c r="A19" s="34" t="s">
        <v>49</v>
      </c>
      <c r="B19" s="38">
        <v>-3000</v>
      </c>
      <c r="C19" s="38">
        <v>-3000</v>
      </c>
      <c r="D19" s="38">
        <f t="shared" ref="D19:N19" si="9">SUM(D20)</f>
        <v>0</v>
      </c>
      <c r="E19" s="38">
        <f t="shared" si="9"/>
        <v>0</v>
      </c>
      <c r="F19" s="38">
        <f t="shared" si="9"/>
        <v>0</v>
      </c>
      <c r="G19" s="38">
        <f t="shared" si="9"/>
        <v>0</v>
      </c>
      <c r="H19" s="38">
        <f t="shared" si="9"/>
        <v>0</v>
      </c>
      <c r="I19" s="38">
        <f t="shared" si="9"/>
        <v>0</v>
      </c>
      <c r="J19" s="38">
        <f t="shared" si="9"/>
        <v>0</v>
      </c>
      <c r="K19" s="38">
        <f t="shared" si="9"/>
        <v>0</v>
      </c>
      <c r="L19" s="38">
        <f t="shared" si="9"/>
        <v>0</v>
      </c>
      <c r="M19" s="38">
        <f t="shared" si="9"/>
        <v>0</v>
      </c>
      <c r="N19" s="38">
        <f t="shared" si="9"/>
        <v>0</v>
      </c>
      <c r="O19" s="38">
        <f>SUM(D19:N19)</f>
        <v>0</v>
      </c>
    </row>
    <row r="20" spans="1:15" ht="15.75" hidden="1" customHeight="1" outlineLevel="1">
      <c r="A20" s="35" t="s">
        <v>11</v>
      </c>
      <c r="B20" s="40">
        <f>-VLOOKUP($A$20,'ZH02'!$B:$N,4,0)</f>
        <v>-3000</v>
      </c>
      <c r="C20" s="40">
        <f>-VLOOKUP($A$20,'ZH02'!$B:$N,4,0)</f>
        <v>-3000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38">
        <f>SUM(D20:N20)</f>
        <v>0</v>
      </c>
    </row>
    <row r="21" spans="1:15" ht="15.75" customHeight="1" collapsed="1">
      <c r="A21" s="42" t="s">
        <v>50</v>
      </c>
      <c r="B21" s="38">
        <f t="shared" ref="B21:N21" si="10">SUM(B22:B23)</f>
        <v>0</v>
      </c>
      <c r="C21" s="38">
        <f t="shared" si="10"/>
        <v>0</v>
      </c>
      <c r="D21" s="38">
        <f t="shared" si="10"/>
        <v>0</v>
      </c>
      <c r="E21" s="38">
        <f t="shared" si="10"/>
        <v>0</v>
      </c>
      <c r="F21" s="38">
        <f t="shared" si="10"/>
        <v>0</v>
      </c>
      <c r="G21" s="38">
        <f t="shared" si="10"/>
        <v>0</v>
      </c>
      <c r="H21" s="38">
        <f t="shared" si="10"/>
        <v>0</v>
      </c>
      <c r="I21" s="38">
        <f t="shared" si="10"/>
        <v>0</v>
      </c>
      <c r="J21" s="38">
        <f t="shared" si="10"/>
        <v>0</v>
      </c>
      <c r="K21" s="38">
        <f t="shared" si="10"/>
        <v>0</v>
      </c>
      <c r="L21" s="38">
        <f t="shared" si="10"/>
        <v>0</v>
      </c>
      <c r="M21" s="38">
        <f t="shared" si="10"/>
        <v>0</v>
      </c>
      <c r="N21" s="38">
        <f t="shared" si="10"/>
        <v>0</v>
      </c>
      <c r="O21" s="38">
        <f>SUM(D21:N21)</f>
        <v>0</v>
      </c>
    </row>
    <row r="22" spans="1:15" ht="15.75" hidden="1" customHeight="1" outlineLevel="1">
      <c r="A22" s="35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spans="1:15" ht="15.75" hidden="1" customHeight="1" outlineLevel="1">
      <c r="A23" s="4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ht="15.75" customHeight="1" collapsed="1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5.75" customHeight="1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5.7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15.75" customHeight="1"/>
    <row r="28" spans="1:15" ht="15.75" customHeight="1">
      <c r="E28">
        <f>42.5*120</f>
        <v>5100</v>
      </c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</sheetData>
  <dataConsolidate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27B37A-54E0-144A-856B-5C7E9C25F6D4}">
          <x14:formula1>
            <xm:f>'ZH02'!$B$4:$B$75</xm:f>
          </x14:formula1>
          <xm:sqref>A16:A18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6D68-7B8F-C440-B9CC-682276BAFBAB}">
  <dimension ref="A1:AJ852"/>
  <sheetViews>
    <sheetView zoomScale="107" zoomScaleNormal="160" workbookViewId="0">
      <selection activeCell="D28" sqref="D28"/>
    </sheetView>
  </sheetViews>
  <sheetFormatPr defaultColWidth="14.5" defaultRowHeight="15.75" outlineLevelRow="1"/>
  <cols>
    <col min="1" max="1" width="30" customWidth="1"/>
    <col min="2" max="14" width="12.875" customWidth="1"/>
    <col min="17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>
      <c r="A2" s="58" t="s">
        <v>105</v>
      </c>
      <c r="B2" s="59">
        <f>SUM(B3:B5)</f>
        <v>0</v>
      </c>
      <c r="C2" s="59">
        <f t="shared" ref="C2:N2" si="0">SUM(C3:C5)</f>
        <v>39776</v>
      </c>
      <c r="D2" s="59">
        <f t="shared" si="0"/>
        <v>49606.400000000001</v>
      </c>
      <c r="E2" s="59">
        <f t="shared" si="0"/>
        <v>76000</v>
      </c>
      <c r="F2" s="59">
        <f t="shared" si="0"/>
        <v>89030.399999999994</v>
      </c>
      <c r="G2" s="59">
        <f t="shared" si="0"/>
        <v>55104</v>
      </c>
      <c r="H2" s="59">
        <f t="shared" si="0"/>
        <v>34944</v>
      </c>
      <c r="I2" s="59">
        <f t="shared" si="0"/>
        <v>34944</v>
      </c>
      <c r="J2" s="59">
        <f t="shared" si="0"/>
        <v>14784</v>
      </c>
      <c r="K2" s="59">
        <f t="shared" si="0"/>
        <v>0</v>
      </c>
      <c r="L2" s="59">
        <f t="shared" si="0"/>
        <v>0</v>
      </c>
      <c r="M2" s="59">
        <f t="shared" si="0"/>
        <v>0</v>
      </c>
      <c r="N2" s="59">
        <f t="shared" si="0"/>
        <v>0</v>
      </c>
      <c r="O2" s="12">
        <f>SUM(B2:M2)</f>
        <v>394188.79999999999</v>
      </c>
    </row>
    <row r="3" spans="1:36">
      <c r="A3" s="63" t="s">
        <v>58</v>
      </c>
      <c r="B3" s="63"/>
      <c r="C3" s="14">
        <v>39776</v>
      </c>
      <c r="D3" s="14">
        <v>49606.400000000001</v>
      </c>
      <c r="E3" s="14">
        <v>40979.199999999997</v>
      </c>
      <c r="F3" s="14">
        <v>36608</v>
      </c>
      <c r="G3" s="14">
        <v>34944</v>
      </c>
      <c r="H3" s="14">
        <v>14784</v>
      </c>
      <c r="I3" s="14">
        <v>14784</v>
      </c>
      <c r="J3" s="14">
        <v>14784</v>
      </c>
      <c r="K3" s="14"/>
      <c r="L3" s="14"/>
      <c r="M3" s="14"/>
      <c r="N3" s="14"/>
      <c r="O3" s="12">
        <f>SUM(B3:M3)</f>
        <v>246265.59999999998</v>
      </c>
    </row>
    <row r="4" spans="1:36">
      <c r="A4" s="63" t="s">
        <v>59</v>
      </c>
      <c r="B4" s="63"/>
      <c r="C4" s="14"/>
      <c r="D4" s="14"/>
      <c r="E4" s="14">
        <v>35020.800000000003</v>
      </c>
      <c r="F4" s="14">
        <v>40550.400000000001</v>
      </c>
      <c r="G4" s="14">
        <v>20160</v>
      </c>
      <c r="H4" s="14">
        <v>20160</v>
      </c>
      <c r="I4" s="14">
        <v>20160</v>
      </c>
      <c r="J4" s="14"/>
      <c r="K4" s="14"/>
      <c r="L4" s="14"/>
      <c r="M4" s="14"/>
      <c r="N4" s="14"/>
      <c r="O4" s="12">
        <f>SUM(B4:M4)</f>
        <v>136051.20000000001</v>
      </c>
    </row>
    <row r="5" spans="1:36">
      <c r="A5" s="63" t="s">
        <v>60</v>
      </c>
      <c r="B5" s="63"/>
      <c r="C5" s="14"/>
      <c r="D5" s="14"/>
      <c r="E5" s="14"/>
      <c r="F5" s="14">
        <v>11872</v>
      </c>
      <c r="G5" s="14"/>
      <c r="H5" s="14"/>
      <c r="I5" s="14"/>
      <c r="J5" s="14"/>
      <c r="K5" s="14"/>
      <c r="L5" s="14"/>
      <c r="M5" s="14"/>
      <c r="N5" s="14"/>
      <c r="O5" s="12">
        <f>SUM(B5:M5)</f>
        <v>11872</v>
      </c>
    </row>
    <row r="6" spans="1:36" ht="16.5" customHeight="1">
      <c r="A6" s="58" t="s">
        <v>106</v>
      </c>
      <c r="B6" s="59">
        <f>SUM(B3:B5)*(1-B8)</f>
        <v>0</v>
      </c>
      <c r="C6" s="59">
        <f>SUM(C3:C5)*(1-C8)</f>
        <v>37389.439999999995</v>
      </c>
      <c r="D6" s="59">
        <f>SUM(D3:D5)*(1-D8)</f>
        <v>46630.015999999996</v>
      </c>
      <c r="E6" s="59">
        <f>SUM(E3:E5)*(1-E8)</f>
        <v>69920</v>
      </c>
      <c r="F6" s="59">
        <f t="shared" ref="F6:M6" si="1">SUM(F3:F5)*(1-F8)</f>
        <v>81907.967999999993</v>
      </c>
      <c r="G6" s="59">
        <f t="shared" si="1"/>
        <v>50695.68</v>
      </c>
      <c r="H6" s="59">
        <f t="shared" si="1"/>
        <v>32148.480000000003</v>
      </c>
      <c r="I6" s="59">
        <f t="shared" si="1"/>
        <v>32148.480000000003</v>
      </c>
      <c r="J6" s="59">
        <f t="shared" si="1"/>
        <v>13601.28</v>
      </c>
      <c r="K6" s="59">
        <f t="shared" si="1"/>
        <v>0</v>
      </c>
      <c r="L6" s="59">
        <f t="shared" si="1"/>
        <v>0</v>
      </c>
      <c r="M6" s="59">
        <f t="shared" si="1"/>
        <v>0</v>
      </c>
      <c r="N6" s="59"/>
      <c r="O6" s="12">
        <f>SUM(B6:M6)</f>
        <v>364441.34399999998</v>
      </c>
    </row>
    <row r="7" spans="1:36" ht="9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</row>
    <row r="8" spans="1:36" ht="16.5" customHeight="1">
      <c r="A8" s="18" t="s">
        <v>45</v>
      </c>
      <c r="B8" s="19">
        <v>0.06</v>
      </c>
      <c r="C8" s="19">
        <v>0.06</v>
      </c>
      <c r="D8" s="19">
        <v>0.06</v>
      </c>
      <c r="E8" s="19">
        <v>0.08</v>
      </c>
      <c r="F8" s="19">
        <v>0.08</v>
      </c>
      <c r="G8" s="19">
        <v>0.08</v>
      </c>
      <c r="H8" s="19">
        <v>0.08</v>
      </c>
      <c r="I8" s="19">
        <v>0.08</v>
      </c>
      <c r="J8" s="19">
        <v>0.08</v>
      </c>
      <c r="K8" s="19">
        <v>0.1</v>
      </c>
      <c r="L8" s="19">
        <v>0.1</v>
      </c>
      <c r="M8" s="19">
        <v>0.18</v>
      </c>
      <c r="N8" s="19">
        <v>0.18</v>
      </c>
      <c r="O8" s="20"/>
      <c r="P8" s="21"/>
    </row>
    <row r="9" spans="1:36" ht="9" customHeight="1">
      <c r="A9" s="2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</row>
    <row r="10" spans="1:36" ht="16.5" customHeight="1">
      <c r="A10" s="18" t="s">
        <v>46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</row>
    <row r="11" spans="1:36" ht="16.5" customHeight="1">
      <c r="A11" s="23" t="s">
        <v>55</v>
      </c>
      <c r="B11" s="24">
        <f>B17</f>
        <v>0</v>
      </c>
      <c r="C11" s="24"/>
      <c r="D11" s="24">
        <f>D17</f>
        <v>-3000</v>
      </c>
      <c r="E11" s="24">
        <f t="shared" ref="E11:M11" si="2">E17</f>
        <v>-3000</v>
      </c>
      <c r="F11" s="24">
        <f t="shared" si="2"/>
        <v>-22000</v>
      </c>
      <c r="G11" s="24">
        <f t="shared" si="2"/>
        <v>-22000</v>
      </c>
      <c r="H11" s="24">
        <f t="shared" si="2"/>
        <v>-7500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24">
        <f>N17</f>
        <v>0</v>
      </c>
      <c r="O11" s="25">
        <f>SUM(D11:M11)</f>
        <v>-57500</v>
      </c>
      <c r="T11" s="50" t="s">
        <v>26</v>
      </c>
      <c r="U11" s="36">
        <v>176</v>
      </c>
      <c r="W11">
        <f>V11*U11</f>
        <v>0</v>
      </c>
    </row>
    <row r="12" spans="1:36" ht="16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T12" s="44" t="s">
        <v>11</v>
      </c>
      <c r="U12" s="36">
        <v>120</v>
      </c>
      <c r="W12">
        <f>V12*U12</f>
        <v>0</v>
      </c>
    </row>
    <row r="13" spans="1:36" ht="16.5" customHeight="1">
      <c r="A13" s="27" t="s">
        <v>47</v>
      </c>
      <c r="B13" s="9">
        <v>44927</v>
      </c>
      <c r="C13" s="9">
        <v>44958</v>
      </c>
      <c r="D13" s="9">
        <v>44986</v>
      </c>
      <c r="E13" s="9">
        <v>45017</v>
      </c>
      <c r="F13" s="9">
        <v>45047</v>
      </c>
      <c r="G13" s="9">
        <v>45078</v>
      </c>
      <c r="H13" s="9">
        <v>45108</v>
      </c>
      <c r="I13" s="9">
        <v>45139</v>
      </c>
      <c r="J13" s="9">
        <v>45170</v>
      </c>
      <c r="K13" s="9">
        <v>45200</v>
      </c>
      <c r="L13" s="9">
        <v>45231</v>
      </c>
      <c r="M13" s="9">
        <v>45261</v>
      </c>
      <c r="N13" s="9">
        <v>45292</v>
      </c>
      <c r="O13" s="10" t="s">
        <v>43</v>
      </c>
      <c r="T13" s="51" t="s">
        <v>21</v>
      </c>
      <c r="U13" s="36">
        <v>120</v>
      </c>
      <c r="V13">
        <v>168</v>
      </c>
      <c r="W13">
        <f>V13*U13</f>
        <v>20160</v>
      </c>
    </row>
    <row r="14" spans="1:36" ht="16.5" customHeight="1">
      <c r="A14" s="28" t="s">
        <v>55</v>
      </c>
      <c r="B14" s="29">
        <f>B6+B11</f>
        <v>0</v>
      </c>
      <c r="C14" s="29">
        <f t="shared" ref="C14:M14" si="3">C6+C11</f>
        <v>37389.439999999995</v>
      </c>
      <c r="D14" s="29">
        <f t="shared" si="3"/>
        <v>43630.015999999996</v>
      </c>
      <c r="E14" s="29">
        <f t="shared" si="3"/>
        <v>66920</v>
      </c>
      <c r="F14" s="29">
        <f t="shared" si="3"/>
        <v>59907.967999999993</v>
      </c>
      <c r="G14" s="29">
        <f t="shared" si="3"/>
        <v>28695.68</v>
      </c>
      <c r="H14" s="29">
        <f t="shared" si="3"/>
        <v>24648.480000000003</v>
      </c>
      <c r="I14" s="29">
        <f t="shared" si="3"/>
        <v>32148.480000000003</v>
      </c>
      <c r="J14" s="29">
        <f t="shared" si="3"/>
        <v>13601.28</v>
      </c>
      <c r="K14" s="29">
        <f t="shared" si="3"/>
        <v>0</v>
      </c>
      <c r="L14" s="29">
        <f t="shared" si="3"/>
        <v>0</v>
      </c>
      <c r="M14" s="29">
        <f t="shared" si="3"/>
        <v>0</v>
      </c>
      <c r="N14" s="29">
        <f>N6+N11</f>
        <v>0</v>
      </c>
      <c r="O14" s="30">
        <f>SUM(D14:M14)</f>
        <v>269551.90400000004</v>
      </c>
      <c r="T14" s="51" t="s">
        <v>61</v>
      </c>
      <c r="U14" s="36">
        <v>110.4</v>
      </c>
      <c r="V14">
        <v>168</v>
      </c>
      <c r="W14">
        <f>V14*U14</f>
        <v>18547.2</v>
      </c>
    </row>
    <row r="15" spans="1:36" ht="16.5" customHeight="1">
      <c r="A15" s="26"/>
      <c r="B15" s="43" t="e">
        <f>B14/B6</f>
        <v>#DIV/0!</v>
      </c>
      <c r="C15" s="43">
        <f t="shared" ref="C15:O15" si="4">C14/C6</f>
        <v>1</v>
      </c>
      <c r="D15" s="43">
        <f t="shared" si="4"/>
        <v>0.93566375786789346</v>
      </c>
      <c r="E15" s="43">
        <f t="shared" si="4"/>
        <v>0.95709382151029754</v>
      </c>
      <c r="F15" s="43">
        <f t="shared" si="4"/>
        <v>0.73140586273608932</v>
      </c>
      <c r="G15" s="43">
        <f t="shared" si="4"/>
        <v>0.56603797404433676</v>
      </c>
      <c r="H15" s="43">
        <f t="shared" si="4"/>
        <v>0.76670747730530342</v>
      </c>
      <c r="I15" s="43">
        <f t="shared" si="4"/>
        <v>1</v>
      </c>
      <c r="J15" s="43">
        <f t="shared" si="4"/>
        <v>1</v>
      </c>
      <c r="K15" s="43" t="e">
        <f t="shared" si="4"/>
        <v>#DIV/0!</v>
      </c>
      <c r="L15" s="43" t="e">
        <f t="shared" si="4"/>
        <v>#DIV/0!</v>
      </c>
      <c r="M15" s="43" t="e">
        <f t="shared" si="4"/>
        <v>#DIV/0!</v>
      </c>
      <c r="N15" s="43" t="e">
        <f t="shared" si="4"/>
        <v>#DIV/0!</v>
      </c>
      <c r="O15" s="43">
        <f t="shared" si="4"/>
        <v>0.73963041909976068</v>
      </c>
      <c r="V15">
        <v>168</v>
      </c>
      <c r="W15">
        <f>V15*U15</f>
        <v>0</v>
      </c>
    </row>
    <row r="16" spans="1:36" ht="21" customHeight="1">
      <c r="A16" s="26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W16">
        <f>SUM(W11:W15)</f>
        <v>38707.199999999997</v>
      </c>
    </row>
    <row r="17" spans="1:15" ht="15.75" customHeight="1">
      <c r="A17" s="18" t="str">
        <f>A11</f>
        <v>Reune</v>
      </c>
      <c r="B17" s="37">
        <f t="shared" ref="B17:O17" si="5">B18+B21+B23</f>
        <v>0</v>
      </c>
      <c r="C17" s="37">
        <f t="shared" si="5"/>
        <v>0</v>
      </c>
      <c r="D17" s="37">
        <f t="shared" si="5"/>
        <v>-3000</v>
      </c>
      <c r="E17" s="37">
        <f t="shared" si="5"/>
        <v>-3000</v>
      </c>
      <c r="F17" s="37">
        <f t="shared" si="5"/>
        <v>-22000</v>
      </c>
      <c r="G17" s="37">
        <f t="shared" si="5"/>
        <v>-22000</v>
      </c>
      <c r="H17" s="37">
        <f t="shared" si="5"/>
        <v>-7500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-57500</v>
      </c>
    </row>
    <row r="18" spans="1:15" ht="15.75" customHeight="1">
      <c r="A18" s="34" t="s">
        <v>48</v>
      </c>
      <c r="B18" s="45">
        <f t="shared" ref="B18:N18" si="6">SUM(B19:B20)</f>
        <v>0</v>
      </c>
      <c r="C18" s="46">
        <f t="shared" si="6"/>
        <v>0</v>
      </c>
      <c r="D18" s="46">
        <f t="shared" si="6"/>
        <v>0</v>
      </c>
      <c r="E18" s="46">
        <f t="shared" si="6"/>
        <v>0</v>
      </c>
      <c r="F18" s="46">
        <f t="shared" si="6"/>
        <v>-19000</v>
      </c>
      <c r="G18" s="46">
        <f t="shared" si="6"/>
        <v>-19000</v>
      </c>
      <c r="H18" s="46">
        <f t="shared" si="6"/>
        <v>-4500</v>
      </c>
      <c r="I18" s="46">
        <f t="shared" si="6"/>
        <v>0</v>
      </c>
      <c r="J18" s="46">
        <f t="shared" si="6"/>
        <v>0</v>
      </c>
      <c r="K18" s="46">
        <f t="shared" si="6"/>
        <v>0</v>
      </c>
      <c r="L18" s="46">
        <f t="shared" si="6"/>
        <v>0</v>
      </c>
      <c r="M18" s="47">
        <f t="shared" si="6"/>
        <v>0</v>
      </c>
      <c r="N18" s="47">
        <f t="shared" si="6"/>
        <v>0</v>
      </c>
      <c r="O18" s="38">
        <f>SUM(D18:M18)</f>
        <v>-42500</v>
      </c>
    </row>
    <row r="19" spans="1:15" ht="15.75" customHeight="1" outlineLevel="1">
      <c r="A19" s="48" t="s">
        <v>8</v>
      </c>
      <c r="B19" s="40"/>
      <c r="C19" s="40"/>
      <c r="D19" s="40"/>
      <c r="E19" s="40"/>
      <c r="F19" s="40">
        <f>-VLOOKUP($A$19,'ZH02'!$B:$N,4,0)</f>
        <v>-10000</v>
      </c>
      <c r="G19" s="40">
        <f>-VLOOKUP($A$19,'ZH02'!$B:$N,4,0)</f>
        <v>-10000</v>
      </c>
      <c r="H19" s="40"/>
      <c r="I19" s="40"/>
      <c r="J19" s="40"/>
      <c r="K19" s="40"/>
      <c r="L19" s="40"/>
      <c r="M19" s="40"/>
      <c r="N19" s="40"/>
      <c r="O19" s="38"/>
    </row>
    <row r="20" spans="1:15" ht="15.75" customHeight="1" outlineLevel="1">
      <c r="A20" s="48" t="s">
        <v>24</v>
      </c>
      <c r="B20" s="40"/>
      <c r="C20" s="40"/>
      <c r="D20" s="40"/>
      <c r="E20" s="40"/>
      <c r="F20" s="40">
        <f>-VLOOKUP($A$20,'ZH02'!$B:$N,4,0)</f>
        <v>-9000</v>
      </c>
      <c r="G20" s="40">
        <f>-VLOOKUP($A$20,'ZH02'!$B:$N,4,0)</f>
        <v>-9000</v>
      </c>
      <c r="H20" s="40">
        <f>(-VLOOKUP($A$20,'ZH02'!$B:$N,4,0))/2</f>
        <v>-4500</v>
      </c>
      <c r="I20" s="40"/>
      <c r="J20" s="40"/>
      <c r="K20" s="40"/>
      <c r="L20" s="40"/>
      <c r="M20" s="40"/>
      <c r="N20" s="40"/>
      <c r="O20" s="38"/>
    </row>
    <row r="21" spans="1:15" ht="15.75" customHeight="1">
      <c r="A21" s="34" t="s">
        <v>49</v>
      </c>
      <c r="B21" s="46">
        <f>SUM(B22)</f>
        <v>0</v>
      </c>
      <c r="C21" s="46">
        <f t="shared" ref="C21:N21" si="7">SUM(C22)</f>
        <v>0</v>
      </c>
      <c r="D21" s="46">
        <f t="shared" si="7"/>
        <v>-3000</v>
      </c>
      <c r="E21" s="46">
        <f t="shared" si="7"/>
        <v>-3000</v>
      </c>
      <c r="F21" s="46">
        <f t="shared" si="7"/>
        <v>-3000</v>
      </c>
      <c r="G21" s="46">
        <f>SUM(G22)</f>
        <v>-3000</v>
      </c>
      <c r="H21" s="46">
        <f>SUM(H22)</f>
        <v>-3000</v>
      </c>
      <c r="I21" s="46">
        <f t="shared" si="7"/>
        <v>0</v>
      </c>
      <c r="J21" s="46">
        <f t="shared" si="7"/>
        <v>0</v>
      </c>
      <c r="K21" s="46">
        <f t="shared" si="7"/>
        <v>0</v>
      </c>
      <c r="L21" s="46">
        <f t="shared" si="7"/>
        <v>0</v>
      </c>
      <c r="M21" s="47">
        <f t="shared" si="7"/>
        <v>0</v>
      </c>
      <c r="N21" s="47">
        <f t="shared" si="7"/>
        <v>0</v>
      </c>
      <c r="O21" s="38">
        <f>SUM(D21:M21)</f>
        <v>-15000</v>
      </c>
    </row>
    <row r="22" spans="1:15" ht="15.75" customHeight="1" outlineLevel="1">
      <c r="A22" s="48" t="s">
        <v>11</v>
      </c>
      <c r="B22" s="40"/>
      <c r="C22" s="40"/>
      <c r="D22" s="40">
        <v>-3000</v>
      </c>
      <c r="E22" s="40">
        <v>-3000</v>
      </c>
      <c r="F22" s="40">
        <v>-3000</v>
      </c>
      <c r="G22" s="40">
        <f>-VLOOKUP($A$22,'ZH02'!$B:$N,4,0)</f>
        <v>-3000</v>
      </c>
      <c r="H22" s="40">
        <f>-VLOOKUP($A$22,'ZH02'!$B:$N,4,0)</f>
        <v>-3000</v>
      </c>
      <c r="I22" s="40"/>
      <c r="J22" s="40"/>
      <c r="K22" s="40"/>
      <c r="L22" s="40"/>
      <c r="M22" s="40"/>
      <c r="N22" s="40"/>
      <c r="O22" s="38"/>
    </row>
    <row r="23" spans="1:15" ht="15.75" customHeight="1">
      <c r="A23" s="34" t="s">
        <v>50</v>
      </c>
      <c r="B23" s="46">
        <f t="shared" ref="B23:N23" si="8">SUM(B24:B25)</f>
        <v>0</v>
      </c>
      <c r="C23" s="46">
        <f t="shared" si="8"/>
        <v>0</v>
      </c>
      <c r="D23" s="46">
        <f t="shared" si="8"/>
        <v>0</v>
      </c>
      <c r="E23" s="46">
        <f t="shared" si="8"/>
        <v>0</v>
      </c>
      <c r="F23" s="46">
        <f t="shared" si="8"/>
        <v>0</v>
      </c>
      <c r="G23" s="46">
        <f t="shared" si="8"/>
        <v>0</v>
      </c>
      <c r="H23" s="46">
        <f t="shared" si="8"/>
        <v>0</v>
      </c>
      <c r="I23" s="46">
        <f t="shared" si="8"/>
        <v>0</v>
      </c>
      <c r="J23" s="46">
        <f t="shared" si="8"/>
        <v>0</v>
      </c>
      <c r="K23" s="46">
        <f t="shared" si="8"/>
        <v>0</v>
      </c>
      <c r="L23" s="46">
        <f t="shared" si="8"/>
        <v>0</v>
      </c>
      <c r="M23" s="47">
        <f t="shared" si="8"/>
        <v>0</v>
      </c>
      <c r="N23" s="47">
        <f t="shared" si="8"/>
        <v>0</v>
      </c>
      <c r="O23" s="38">
        <f>SUM(D23:M23)</f>
        <v>0</v>
      </c>
    </row>
    <row r="24" spans="1:15" ht="15.75" customHeight="1" outlineLevel="1">
      <c r="A24" s="48" t="s">
        <v>56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5.75" customHeight="1" outlineLevel="1">
      <c r="A25" s="49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5.7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15.75" customHeight="1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15.75" customHeight="1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F9846E-8E2A-1848-B683-2A50D71C6A29}">
          <x14:formula1>
            <xm:f>'ZH02'!$B$4:$B$75</xm:f>
          </x14:formula1>
          <xm:sqref>A22 A19:A20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F18C-7944-6A47-ADE7-C9515EAC0D54}">
  <dimension ref="A1:AJ678"/>
  <sheetViews>
    <sheetView zoomScale="110" zoomScaleNormal="110" workbookViewId="0">
      <selection activeCell="H18" sqref="H18"/>
    </sheetView>
  </sheetViews>
  <sheetFormatPr defaultColWidth="14.5" defaultRowHeight="15" customHeight="1" outlineLevelRow="1"/>
  <cols>
    <col min="1" max="1" width="30" customWidth="1"/>
    <col min="2" max="4" width="12.875" hidden="1" customWidth="1"/>
    <col min="5" max="6" width="6.5" hidden="1" customWidth="1"/>
    <col min="7" max="14" width="12.875" customWidth="1"/>
    <col min="17" max="19" width="10.5" customWidth="1"/>
    <col min="20" max="20" width="26.625" bestFit="1" customWidth="1"/>
    <col min="21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 ht="15.75">
      <c r="A2" s="11" t="s">
        <v>53</v>
      </c>
      <c r="B2" s="12"/>
      <c r="C2" s="12"/>
      <c r="D2" s="12"/>
      <c r="E2" s="12"/>
      <c r="F2" s="12"/>
      <c r="G2" s="12">
        <v>49800</v>
      </c>
      <c r="H2" s="12">
        <v>254960</v>
      </c>
      <c r="I2" s="12">
        <v>368000</v>
      </c>
      <c r="J2" s="12">
        <v>356000</v>
      </c>
      <c r="K2" s="12">
        <v>420000</v>
      </c>
      <c r="L2" s="12">
        <v>380000</v>
      </c>
      <c r="M2" s="12">
        <v>400000</v>
      </c>
      <c r="N2" s="12"/>
      <c r="O2" s="12">
        <f>SUM(D2:M2)</f>
        <v>2228760</v>
      </c>
    </row>
    <row r="3" spans="1:36" ht="16.5" customHeight="1">
      <c r="A3" s="13" t="s">
        <v>54</v>
      </c>
      <c r="B3" s="14">
        <f>B2*(1-B5)</f>
        <v>0</v>
      </c>
      <c r="C3" s="14">
        <f t="shared" ref="C3:M3" si="0">C2*(1-C5)</f>
        <v>0</v>
      </c>
      <c r="D3" s="14">
        <f t="shared" si="0"/>
        <v>0</v>
      </c>
      <c r="E3" s="14">
        <f t="shared" si="0"/>
        <v>0</v>
      </c>
      <c r="F3" s="14">
        <f t="shared" si="0"/>
        <v>0</v>
      </c>
      <c r="G3" s="14">
        <f t="shared" si="0"/>
        <v>44820</v>
      </c>
      <c r="H3" s="14">
        <f t="shared" si="0"/>
        <v>229464</v>
      </c>
      <c r="I3" s="14">
        <f t="shared" si="0"/>
        <v>301760</v>
      </c>
      <c r="J3" s="14">
        <f t="shared" si="0"/>
        <v>291920</v>
      </c>
      <c r="K3" s="14">
        <f t="shared" si="0"/>
        <v>344400</v>
      </c>
      <c r="L3" s="14">
        <f t="shared" si="0"/>
        <v>311600</v>
      </c>
      <c r="M3" s="14">
        <f t="shared" si="0"/>
        <v>328000</v>
      </c>
      <c r="N3" s="14"/>
      <c r="O3" s="12">
        <f>SUM(D3:M3)</f>
        <v>1851964</v>
      </c>
    </row>
    <row r="4" spans="1:36" ht="9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6.5" customHeight="1">
      <c r="A5" s="18" t="s">
        <v>45</v>
      </c>
      <c r="B5" s="19">
        <v>0.06</v>
      </c>
      <c r="C5" s="19">
        <v>0.06</v>
      </c>
      <c r="D5" s="19">
        <v>0.06</v>
      </c>
      <c r="E5" s="19">
        <v>0.06</v>
      </c>
      <c r="F5" s="19">
        <v>0.06</v>
      </c>
      <c r="G5" s="19">
        <v>0.1</v>
      </c>
      <c r="H5" s="19">
        <v>0.1</v>
      </c>
      <c r="I5" s="19">
        <v>0.18</v>
      </c>
      <c r="J5" s="19">
        <v>0.18</v>
      </c>
      <c r="K5" s="19">
        <v>0.18</v>
      </c>
      <c r="L5" s="19">
        <v>0.18</v>
      </c>
      <c r="M5" s="19">
        <v>0.18</v>
      </c>
      <c r="N5" s="19"/>
      <c r="O5" s="20"/>
      <c r="P5" s="21"/>
    </row>
    <row r="6" spans="1:36" ht="9" customHeight="1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36" ht="16.5" customHeight="1">
      <c r="A7" s="18" t="s">
        <v>46</v>
      </c>
      <c r="B7" s="9">
        <v>44927</v>
      </c>
      <c r="C7" s="9">
        <v>44958</v>
      </c>
      <c r="D7" s="9">
        <v>44986</v>
      </c>
      <c r="E7" s="9">
        <v>45017</v>
      </c>
      <c r="F7" s="9">
        <v>45047</v>
      </c>
      <c r="G7" s="9">
        <v>45078</v>
      </c>
      <c r="H7" s="9">
        <v>45108</v>
      </c>
      <c r="I7" s="9">
        <v>45139</v>
      </c>
      <c r="J7" s="9">
        <v>45170</v>
      </c>
      <c r="K7" s="9">
        <v>45200</v>
      </c>
      <c r="L7" s="9">
        <v>45231</v>
      </c>
      <c r="M7" s="9">
        <v>45261</v>
      </c>
      <c r="N7" s="9">
        <v>45292</v>
      </c>
      <c r="O7" s="10" t="s">
        <v>43</v>
      </c>
    </row>
    <row r="8" spans="1:36" ht="16.5" customHeight="1">
      <c r="A8" s="23" t="s">
        <v>55</v>
      </c>
      <c r="B8" s="24">
        <f>B14</f>
        <v>0</v>
      </c>
      <c r="C8" s="24">
        <f>C14</f>
        <v>0</v>
      </c>
      <c r="D8" s="24">
        <f>D14</f>
        <v>0</v>
      </c>
      <c r="E8" s="24">
        <f t="shared" ref="E8:M8" si="1">E14</f>
        <v>0</v>
      </c>
      <c r="F8" s="24">
        <f t="shared" si="1"/>
        <v>0</v>
      </c>
      <c r="G8" s="24">
        <f t="shared" si="1"/>
        <v>0</v>
      </c>
      <c r="H8" s="24">
        <f t="shared" si="1"/>
        <v>-20928.575714285718</v>
      </c>
      <c r="I8" s="24">
        <f t="shared" si="1"/>
        <v>-124500</v>
      </c>
      <c r="J8" s="24">
        <f t="shared" si="1"/>
        <v>-144500</v>
      </c>
      <c r="K8" s="24">
        <f t="shared" si="1"/>
        <v>-155214.28571428571</v>
      </c>
      <c r="L8" s="24">
        <f t="shared" si="1"/>
        <v>-169500</v>
      </c>
      <c r="M8" s="24">
        <f t="shared" si="1"/>
        <v>-169500</v>
      </c>
      <c r="N8" s="24">
        <f>N14</f>
        <v>-169500</v>
      </c>
      <c r="O8" s="25">
        <f>SUM(D8:M8)</f>
        <v>-784142.8614285714</v>
      </c>
      <c r="T8" t="s">
        <v>28</v>
      </c>
      <c r="U8">
        <v>260</v>
      </c>
      <c r="V8">
        <v>40</v>
      </c>
      <c r="W8">
        <f>V8*U8</f>
        <v>10400</v>
      </c>
    </row>
    <row r="9" spans="1:36" ht="16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T9" t="s">
        <v>32</v>
      </c>
      <c r="U9">
        <v>104</v>
      </c>
      <c r="V9">
        <v>40</v>
      </c>
      <c r="W9">
        <f>V9*U9</f>
        <v>4160</v>
      </c>
    </row>
    <row r="10" spans="1:36" ht="16.5" customHeight="1">
      <c r="A10" s="27" t="s">
        <v>47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  <c r="T10" t="s">
        <v>40</v>
      </c>
      <c r="U10">
        <v>240</v>
      </c>
      <c r="V10">
        <v>40</v>
      </c>
      <c r="W10">
        <f>V10*U10</f>
        <v>9600</v>
      </c>
    </row>
    <row r="11" spans="1:36" ht="16.5" customHeight="1">
      <c r="A11" s="28" t="s">
        <v>55</v>
      </c>
      <c r="B11" s="29">
        <f>B3+B8</f>
        <v>0</v>
      </c>
      <c r="C11" s="29">
        <f t="shared" ref="C11:M11" si="2">C3+C8</f>
        <v>0</v>
      </c>
      <c r="D11" s="29">
        <f t="shared" si="2"/>
        <v>0</v>
      </c>
      <c r="E11" s="29">
        <f t="shared" si="2"/>
        <v>0</v>
      </c>
      <c r="F11" s="29">
        <f t="shared" si="2"/>
        <v>0</v>
      </c>
      <c r="G11" s="29">
        <f t="shared" si="2"/>
        <v>44820</v>
      </c>
      <c r="H11" s="29">
        <f t="shared" si="2"/>
        <v>208535.42428571428</v>
      </c>
      <c r="I11" s="29">
        <f t="shared" si="2"/>
        <v>177260</v>
      </c>
      <c r="J11" s="29">
        <f t="shared" si="2"/>
        <v>147420</v>
      </c>
      <c r="K11" s="29">
        <f t="shared" si="2"/>
        <v>189185.71428571429</v>
      </c>
      <c r="L11" s="29">
        <f t="shared" si="2"/>
        <v>142100</v>
      </c>
      <c r="M11" s="29">
        <f t="shared" si="2"/>
        <v>158500</v>
      </c>
      <c r="N11" s="29">
        <f>N3+N8</f>
        <v>-169500</v>
      </c>
      <c r="O11" s="30">
        <f>SUM(D11:N11)</f>
        <v>898321.1385714286</v>
      </c>
      <c r="T11" t="s">
        <v>38</v>
      </c>
      <c r="U11">
        <v>160</v>
      </c>
      <c r="W11">
        <f>V11*U11</f>
        <v>0</v>
      </c>
    </row>
    <row r="12" spans="1:36" ht="16.5" customHeight="1">
      <c r="A12" s="26"/>
      <c r="B12" s="43" t="e">
        <f>B11/B3</f>
        <v>#DIV/0!</v>
      </c>
      <c r="C12" s="43" t="e">
        <f t="shared" ref="C12:N12" si="3">C11/C3</f>
        <v>#DIV/0!</v>
      </c>
      <c r="D12" s="43" t="e">
        <f t="shared" si="3"/>
        <v>#DIV/0!</v>
      </c>
      <c r="E12" s="43" t="e">
        <f t="shared" si="3"/>
        <v>#DIV/0!</v>
      </c>
      <c r="F12" s="43" t="e">
        <f t="shared" si="3"/>
        <v>#DIV/0!</v>
      </c>
      <c r="G12" s="43">
        <f t="shared" si="3"/>
        <v>1</v>
      </c>
      <c r="H12" s="43">
        <f t="shared" si="3"/>
        <v>0.90879364207768665</v>
      </c>
      <c r="I12" s="43">
        <f t="shared" si="3"/>
        <v>0.58742046659597036</v>
      </c>
      <c r="J12" s="43">
        <f t="shared" si="3"/>
        <v>0.50500137023842151</v>
      </c>
      <c r="K12" s="43">
        <f t="shared" si="3"/>
        <v>0.54931972789115646</v>
      </c>
      <c r="L12" s="43">
        <f t="shared" si="3"/>
        <v>0.45603337612323491</v>
      </c>
      <c r="M12" s="43">
        <f t="shared" si="3"/>
        <v>0.48323170731707316</v>
      </c>
      <c r="N12" s="43" t="e">
        <f t="shared" si="3"/>
        <v>#DIV/0!</v>
      </c>
      <c r="O12" s="43">
        <f>O11/O3</f>
        <v>0.48506403935034836</v>
      </c>
      <c r="T12" t="s">
        <v>39</v>
      </c>
      <c r="U12">
        <v>180</v>
      </c>
      <c r="W12">
        <f>V12*U12</f>
        <v>0</v>
      </c>
    </row>
    <row r="13" spans="1:36" ht="21" customHeight="1">
      <c r="A13" s="26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W13">
        <f>SUM(W8:W12)</f>
        <v>24160</v>
      </c>
    </row>
    <row r="14" spans="1:36" ht="15.75" customHeight="1">
      <c r="A14" s="18" t="str">
        <f>A8</f>
        <v>Reune</v>
      </c>
      <c r="B14" s="37">
        <f t="shared" ref="B14:O14" si="4">B15+B30</f>
        <v>0</v>
      </c>
      <c r="C14" s="37">
        <f t="shared" si="4"/>
        <v>0</v>
      </c>
      <c r="D14" s="37">
        <f t="shared" si="4"/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-20928.575714285718</v>
      </c>
      <c r="I14" s="37">
        <f t="shared" si="4"/>
        <v>-124500</v>
      </c>
      <c r="J14" s="37">
        <f t="shared" si="4"/>
        <v>-144500</v>
      </c>
      <c r="K14" s="37">
        <f t="shared" si="4"/>
        <v>-155214.28571428571</v>
      </c>
      <c r="L14" s="37">
        <f t="shared" si="4"/>
        <v>-169500</v>
      </c>
      <c r="M14" s="37">
        <f t="shared" si="4"/>
        <v>-169500</v>
      </c>
      <c r="N14" s="37">
        <f t="shared" si="4"/>
        <v>-169500</v>
      </c>
      <c r="O14" s="37">
        <f t="shared" si="4"/>
        <v>-784142.8614285714</v>
      </c>
    </row>
    <row r="15" spans="1:36" ht="15.75" customHeight="1">
      <c r="A15" s="34" t="s">
        <v>48</v>
      </c>
      <c r="B15" s="45">
        <f t="shared" ref="B15:N15" si="5">SUM(B16:B29)</f>
        <v>0</v>
      </c>
      <c r="C15" s="46">
        <f t="shared" si="5"/>
        <v>0</v>
      </c>
      <c r="D15" s="46">
        <f t="shared" si="5"/>
        <v>0</v>
      </c>
      <c r="E15" s="46">
        <f t="shared" si="5"/>
        <v>0</v>
      </c>
      <c r="F15" s="46">
        <f t="shared" si="5"/>
        <v>0</v>
      </c>
      <c r="G15" s="46">
        <f t="shared" si="5"/>
        <v>0</v>
      </c>
      <c r="H15" s="46">
        <f t="shared" si="5"/>
        <v>-20928.575714285718</v>
      </c>
      <c r="I15" s="46">
        <f t="shared" si="5"/>
        <v>-124500</v>
      </c>
      <c r="J15" s="46">
        <f t="shared" si="5"/>
        <v>-144500</v>
      </c>
      <c r="K15" s="46">
        <f t="shared" si="5"/>
        <v>-155214.28571428571</v>
      </c>
      <c r="L15" s="46">
        <f t="shared" si="5"/>
        <v>-169500</v>
      </c>
      <c r="M15" s="47">
        <f t="shared" si="5"/>
        <v>-169500</v>
      </c>
      <c r="N15" s="47">
        <f t="shared" si="5"/>
        <v>-169500</v>
      </c>
      <c r="O15" s="38">
        <f>SUM(D15:M15)</f>
        <v>-784142.8614285714</v>
      </c>
    </row>
    <row r="16" spans="1:36" ht="15.75" customHeight="1" outlineLevel="1">
      <c r="A16" s="48" t="s">
        <v>26</v>
      </c>
      <c r="B16" s="40"/>
      <c r="C16" s="40"/>
      <c r="D16" s="40"/>
      <c r="E16" s="40"/>
      <c r="F16" s="40"/>
      <c r="G16" s="40"/>
      <c r="H16" s="40">
        <f>-VLOOKUP($A16,'ZH02'!$B:$N,4,0)</f>
        <v>0</v>
      </c>
      <c r="I16" s="40">
        <f>-VLOOKUP($A16,'ZH02'!$B:$N,4,0)</f>
        <v>0</v>
      </c>
      <c r="J16" s="40">
        <f>-VLOOKUP($A16,'ZH02'!$B:$N,4,0)</f>
        <v>0</v>
      </c>
      <c r="K16" s="40">
        <f>-VLOOKUP($A16,'ZH02'!$B:$N,4,0)</f>
        <v>0</v>
      </c>
      <c r="L16" s="40">
        <f>-VLOOKUP($A16,'ZH02'!$B:$N,4,0)</f>
        <v>0</v>
      </c>
      <c r="M16" s="40">
        <f>-VLOOKUP($A16,'ZH02'!$B:$N,4,0)</f>
        <v>0</v>
      </c>
      <c r="N16" s="40">
        <f>-VLOOKUP($A16,'ZH02'!$B:$N,4,0)</f>
        <v>0</v>
      </c>
      <c r="O16" s="38"/>
      <c r="S16" s="247" t="s">
        <v>309</v>
      </c>
      <c r="T16" s="247"/>
      <c r="U16" s="247"/>
    </row>
    <row r="17" spans="1:21" ht="15.75" customHeight="1" outlineLevel="1">
      <c r="A17" s="48" t="s">
        <v>300</v>
      </c>
      <c r="B17" s="40"/>
      <c r="C17" s="40"/>
      <c r="D17" s="40"/>
      <c r="E17" s="40"/>
      <c r="F17" s="40"/>
      <c r="G17" s="40"/>
      <c r="H17" s="40"/>
      <c r="I17" s="40">
        <f>-VLOOKUP($A17,'ZH02'!$B:$N,4,0)</f>
        <v>-18000</v>
      </c>
      <c r="J17" s="40">
        <f>-VLOOKUP($A17,'ZH02'!$B:$N,4,0)</f>
        <v>-18000</v>
      </c>
      <c r="K17" s="40">
        <f>-VLOOKUP($A17,'ZH02'!$B:$N,4,0)</f>
        <v>-18000</v>
      </c>
      <c r="L17" s="40">
        <f>-VLOOKUP($A17,'ZH02'!$B:$N,4,0)</f>
        <v>-18000</v>
      </c>
      <c r="M17" s="40">
        <f>-VLOOKUP($A17,'ZH02'!$B:$N,4,0)</f>
        <v>-18000</v>
      </c>
      <c r="N17" s="40">
        <f>-VLOOKUP($A17,'ZH02'!$B:$N,4,0)</f>
        <v>-18000</v>
      </c>
      <c r="O17" s="38"/>
      <c r="Q17">
        <v>13000</v>
      </c>
      <c r="S17" s="218" t="s">
        <v>198</v>
      </c>
      <c r="T17" s="218" t="s">
        <v>155</v>
      </c>
      <c r="U17" s="218" t="s">
        <v>310</v>
      </c>
    </row>
    <row r="18" spans="1:21" ht="15.75" customHeight="1" outlineLevel="1">
      <c r="A18" s="48" t="s">
        <v>305</v>
      </c>
      <c r="B18" s="40"/>
      <c r="C18" s="40"/>
      <c r="D18" s="40"/>
      <c r="E18" s="40"/>
      <c r="F18" s="40"/>
      <c r="G18" s="40"/>
      <c r="H18" s="40">
        <v>-5714.29</v>
      </c>
      <c r="I18" s="40">
        <f>-VLOOKUP($A18,'ZH02'!$B:$N,4,0)</f>
        <v>-12000</v>
      </c>
      <c r="J18" s="40">
        <f>-VLOOKUP($A18,'ZH02'!$B:$N,4,0)</f>
        <v>-12000</v>
      </c>
      <c r="K18" s="40">
        <f>-VLOOKUP($A18,'ZH02'!$B:$N,4,0)</f>
        <v>-12000</v>
      </c>
      <c r="L18" s="40">
        <f>-VLOOKUP($A18,'ZH02'!$B:$N,4,0)</f>
        <v>-12000</v>
      </c>
      <c r="M18" s="40">
        <f>-VLOOKUP($A18,'ZH02'!$B:$N,4,0)</f>
        <v>-12000</v>
      </c>
      <c r="N18" s="40">
        <f>-VLOOKUP($A18,'ZH02'!$B:$N,4,0)</f>
        <v>-12000</v>
      </c>
      <c r="O18" s="38"/>
      <c r="Q18">
        <f>Q17/21</f>
        <v>619.04761904761904</v>
      </c>
      <c r="S18" s="219">
        <v>45017</v>
      </c>
      <c r="T18" s="220" t="s">
        <v>311</v>
      </c>
      <c r="U18" s="220" t="s">
        <v>311</v>
      </c>
    </row>
    <row r="19" spans="1:21" ht="15.75" customHeight="1" outlineLevel="1">
      <c r="A19" s="48" t="s">
        <v>34</v>
      </c>
      <c r="B19" s="40"/>
      <c r="C19" s="40"/>
      <c r="D19" s="40"/>
      <c r="E19" s="40"/>
      <c r="F19" s="40"/>
      <c r="G19" s="40"/>
      <c r="H19" s="40"/>
      <c r="I19" s="40"/>
      <c r="J19" s="40">
        <f>-VLOOKUP($A19,'ZH02'!$B:$N,4,0)</f>
        <v>-10000</v>
      </c>
      <c r="K19" s="40">
        <f>-VLOOKUP($A19,'ZH02'!$B:$N,4,0)</f>
        <v>-10000</v>
      </c>
      <c r="L19" s="40">
        <f>-VLOOKUP($A19,'ZH02'!$B:$N,4,0)</f>
        <v>-10000</v>
      </c>
      <c r="M19" s="40">
        <f>-VLOOKUP($A19,'ZH02'!$B:$N,4,0)</f>
        <v>-10000</v>
      </c>
      <c r="N19" s="40">
        <f>-VLOOKUP($A19,'ZH02'!$B:$N,4,0)</f>
        <v>-10000</v>
      </c>
      <c r="O19" s="38"/>
      <c r="Q19">
        <f>Q18*9</f>
        <v>5571.4285714285716</v>
      </c>
      <c r="S19" s="219">
        <v>45047</v>
      </c>
      <c r="T19" s="220" t="s">
        <v>311</v>
      </c>
      <c r="U19" s="220" t="s">
        <v>311</v>
      </c>
    </row>
    <row r="20" spans="1:21" ht="15.75" customHeight="1" outlineLevel="1">
      <c r="A20" s="48" t="s">
        <v>302</v>
      </c>
      <c r="B20" s="40"/>
      <c r="C20" s="40"/>
      <c r="D20" s="40"/>
      <c r="E20" s="40"/>
      <c r="F20" s="40"/>
      <c r="G20" s="40"/>
      <c r="H20" s="40"/>
      <c r="I20" s="40">
        <f>-VLOOKUP($A20,'ZH02'!$B:$N,4,0)</f>
        <v>-14000</v>
      </c>
      <c r="J20" s="40">
        <f>-VLOOKUP($A20,'ZH02'!$B:$N,4,0)</f>
        <v>-14000</v>
      </c>
      <c r="K20" s="40">
        <f>-VLOOKUP($A20,'ZH02'!$B:$N,4,0)</f>
        <v>-14000</v>
      </c>
      <c r="L20" s="40">
        <f>-VLOOKUP($A20,'ZH02'!$B:$N,4,0)</f>
        <v>-14000</v>
      </c>
      <c r="M20" s="40">
        <f>-VLOOKUP($A20,'ZH02'!$B:$N,4,0)</f>
        <v>-14000</v>
      </c>
      <c r="N20" s="40">
        <f>-VLOOKUP($A20,'ZH02'!$B:$N,4,0)</f>
        <v>-14000</v>
      </c>
      <c r="O20" s="38"/>
      <c r="S20" s="219">
        <v>45078</v>
      </c>
      <c r="T20" s="221">
        <v>49800</v>
      </c>
      <c r="U20" s="174" t="e">
        <f>'[1]Anbima - Junho - 23'!R60</f>
        <v>#REF!</v>
      </c>
    </row>
    <row r="21" spans="1:21" ht="15.75" customHeight="1" outlineLevel="1">
      <c r="A21" s="48" t="s">
        <v>24</v>
      </c>
      <c r="B21" s="40"/>
      <c r="C21" s="40"/>
      <c r="D21" s="40"/>
      <c r="E21" s="40"/>
      <c r="F21" s="40"/>
      <c r="G21" s="40"/>
      <c r="H21" s="40">
        <f>(-VLOOKUP($A21,'ZH02'!$B:$N,4,0))/2</f>
        <v>-4500</v>
      </c>
      <c r="I21" s="40">
        <f>-VLOOKUP($A21,'ZH02'!$B:$N,4,0)</f>
        <v>-9000</v>
      </c>
      <c r="J21" s="40">
        <f>-VLOOKUP($A21,'ZH02'!$B:$N,4,0)</f>
        <v>-9000</v>
      </c>
      <c r="K21" s="40">
        <f>-VLOOKUP($A21,'ZH02'!$B:$N,4,0)</f>
        <v>-9000</v>
      </c>
      <c r="L21" s="40">
        <f>-VLOOKUP($A21,'ZH02'!$B:$N,4,0)</f>
        <v>-9000</v>
      </c>
      <c r="M21" s="40">
        <f>-VLOOKUP($A21,'ZH02'!$B:$N,4,0)</f>
        <v>-9000</v>
      </c>
      <c r="N21" s="40">
        <f>-VLOOKUP($A21,'ZH02'!$B:$N,4,0)</f>
        <v>-9000</v>
      </c>
      <c r="O21" s="38"/>
      <c r="S21" s="222">
        <v>45108</v>
      </c>
      <c r="T21" s="223">
        <v>254960</v>
      </c>
      <c r="U21" s="224" t="e">
        <f>'[1]Anbima - Julho - 23'!R67</f>
        <v>#REF!</v>
      </c>
    </row>
    <row r="22" spans="1:21" ht="15.75" customHeight="1" outlineLevel="1">
      <c r="A22" s="48" t="s">
        <v>38</v>
      </c>
      <c r="B22" s="40"/>
      <c r="C22" s="40"/>
      <c r="D22" s="40"/>
      <c r="E22" s="40"/>
      <c r="F22" s="40"/>
      <c r="G22" s="40"/>
      <c r="H22" s="40"/>
      <c r="I22" s="40">
        <f>(-VLOOKUP($A22,'ZH02'!$B:$N,4,0))/2</f>
        <v>-5000</v>
      </c>
      <c r="J22" s="40">
        <f>-VLOOKUP($A22,'ZH02'!$B:$N,4,0)</f>
        <v>-10000</v>
      </c>
      <c r="K22" s="40">
        <f>-VLOOKUP($A22,'ZH02'!$B:$N,4,0)</f>
        <v>-10000</v>
      </c>
      <c r="L22" s="40">
        <f>-VLOOKUP($A22,'ZH02'!$B:$N,4,0)</f>
        <v>-10000</v>
      </c>
      <c r="M22" s="40">
        <f>-VLOOKUP($A22,'ZH02'!$B:$N,4,0)</f>
        <v>-10000</v>
      </c>
      <c r="N22" s="40">
        <f>-VLOOKUP($A22,'ZH02'!$B:$N,4,0)</f>
        <v>-10000</v>
      </c>
      <c r="O22" s="38"/>
      <c r="S22" s="222">
        <v>45139</v>
      </c>
      <c r="T22" s="223">
        <v>368000</v>
      </c>
      <c r="U22" s="224" t="e">
        <f>'[1]Anbima - Agosto - 23 '!R65</f>
        <v>#REF!</v>
      </c>
    </row>
    <row r="23" spans="1:21" ht="15.75" customHeight="1" outlineLevel="1">
      <c r="A23" s="48" t="s">
        <v>8</v>
      </c>
      <c r="B23" s="40"/>
      <c r="C23" s="40"/>
      <c r="D23" s="40"/>
      <c r="E23" s="40"/>
      <c r="F23" s="40"/>
      <c r="G23" s="40"/>
      <c r="H23" s="40"/>
      <c r="I23" s="40"/>
      <c r="J23" s="40"/>
      <c r="K23" s="40">
        <v>-5142.8571428571404</v>
      </c>
      <c r="L23" s="40">
        <v>-12000</v>
      </c>
      <c r="M23" s="40">
        <v>-12000</v>
      </c>
      <c r="N23" s="40">
        <v>-12000</v>
      </c>
      <c r="O23" s="38"/>
      <c r="S23" s="222">
        <v>45170</v>
      </c>
      <c r="T23" s="223">
        <v>356000</v>
      </c>
      <c r="U23" s="224" t="e">
        <f>'[1]Anbima - Setembro - 23'!R65</f>
        <v>#REF!</v>
      </c>
    </row>
    <row r="24" spans="1:21" ht="15.75" customHeight="1" outlineLevel="1">
      <c r="A24" s="48" t="s">
        <v>253</v>
      </c>
      <c r="B24" s="40"/>
      <c r="C24" s="40"/>
      <c r="D24" s="40"/>
      <c r="E24" s="40"/>
      <c r="F24" s="40"/>
      <c r="G24" s="40"/>
      <c r="H24" s="40">
        <v>-7857.1428571428596</v>
      </c>
      <c r="I24" s="40">
        <f>-VLOOKUP($A24,'ZH02'!$B:$N,4,0)</f>
        <v>-16500</v>
      </c>
      <c r="J24" s="40">
        <f>-VLOOKUP($A24,'ZH02'!$B:$N,4,0)</f>
        <v>-16500</v>
      </c>
      <c r="K24" s="40">
        <f>-VLOOKUP($A24,'ZH02'!$B:$N,4,0)</f>
        <v>-16500</v>
      </c>
      <c r="L24" s="40">
        <f>-VLOOKUP($A24,'ZH02'!$B:$N,4,0)</f>
        <v>-16500</v>
      </c>
      <c r="M24" s="40">
        <f>-VLOOKUP($A24,'ZH02'!$B:$N,4,0)</f>
        <v>-16500</v>
      </c>
      <c r="N24" s="40">
        <f>-VLOOKUP($A24,'ZH02'!$B:$N,4,0)</f>
        <v>-16500</v>
      </c>
      <c r="O24" s="38"/>
      <c r="S24" s="222">
        <v>45200</v>
      </c>
      <c r="T24" s="223">
        <v>420000</v>
      </c>
      <c r="U24" s="224" t="e">
        <f>'[1]Anbima - Outubro - 23'!R53</f>
        <v>#REF!</v>
      </c>
    </row>
    <row r="25" spans="1:21" ht="15.75" customHeight="1" outlineLevel="1">
      <c r="A25" s="48" t="s">
        <v>303</v>
      </c>
      <c r="B25" s="40"/>
      <c r="C25" s="40"/>
      <c r="D25" s="40"/>
      <c r="E25" s="40"/>
      <c r="F25" s="40"/>
      <c r="G25" s="40"/>
      <c r="H25" s="40">
        <v>-2857.1428571428601</v>
      </c>
      <c r="I25" s="40">
        <f>-VLOOKUP($A25,'ZH02'!$B:$N,4,0)</f>
        <v>-12000</v>
      </c>
      <c r="J25" s="40">
        <f>-VLOOKUP($A25,'ZH02'!$B:$N,4,0)</f>
        <v>-12000</v>
      </c>
      <c r="K25" s="40">
        <f>-VLOOKUP($A25,'ZH02'!$B:$N,4,0)</f>
        <v>-12000</v>
      </c>
      <c r="L25" s="40">
        <f>-VLOOKUP($A25,'ZH02'!$B:$N,4,0)</f>
        <v>-12000</v>
      </c>
      <c r="M25" s="40">
        <f>-VLOOKUP($A25,'ZH02'!$B:$N,4,0)</f>
        <v>-12000</v>
      </c>
      <c r="N25" s="40">
        <f>-VLOOKUP($A25,'ZH02'!$B:$N,4,0)</f>
        <v>-12000</v>
      </c>
      <c r="O25" s="38"/>
      <c r="S25" s="222">
        <v>45231</v>
      </c>
      <c r="T25" s="223">
        <v>380000</v>
      </c>
      <c r="U25" s="224" t="e">
        <f>'[1]Anbima - Novembro - 23'!R53</f>
        <v>#REF!</v>
      </c>
    </row>
    <row r="26" spans="1:21" ht="15.75" customHeight="1" outlineLevel="1">
      <c r="A26" s="48" t="s">
        <v>38</v>
      </c>
      <c r="B26" s="40"/>
      <c r="C26" s="40"/>
      <c r="D26" s="40"/>
      <c r="E26" s="40"/>
      <c r="F26" s="40"/>
      <c r="G26" s="40"/>
      <c r="H26" s="40"/>
      <c r="I26" s="40">
        <f>(-VLOOKUP($A26,'ZH02'!$B:$N,4,0))/2</f>
        <v>-5000</v>
      </c>
      <c r="J26" s="40">
        <f>-VLOOKUP($A26,'ZH02'!$B:$N,4,0)</f>
        <v>-10000</v>
      </c>
      <c r="K26" s="40">
        <f>-VLOOKUP($A26,'ZH02'!$B:$N,4,0)</f>
        <v>-10000</v>
      </c>
      <c r="L26" s="40">
        <f>-VLOOKUP($A26,'ZH02'!$B:$N,4,0)</f>
        <v>-10000</v>
      </c>
      <c r="M26" s="40">
        <f>-VLOOKUP($A26,'ZH02'!$B:$N,4,0)</f>
        <v>-10000</v>
      </c>
      <c r="N26" s="40">
        <f>-VLOOKUP($A26,'ZH02'!$B:$N,4,0)</f>
        <v>-10000</v>
      </c>
      <c r="O26" s="38"/>
      <c r="S26" s="222">
        <v>45261</v>
      </c>
      <c r="T26" s="223">
        <v>400000</v>
      </c>
      <c r="U26" s="224" t="e">
        <f>'[1]Anbima - Dezembro - 23'!R54</f>
        <v>#REF!</v>
      </c>
    </row>
    <row r="27" spans="1:21" ht="15.75" customHeight="1" outlineLevel="1">
      <c r="A27" s="48" t="s">
        <v>25</v>
      </c>
      <c r="B27" s="40"/>
      <c r="C27" s="40"/>
      <c r="D27" s="40"/>
      <c r="E27" s="40"/>
      <c r="F27" s="40"/>
      <c r="G27" s="40"/>
      <c r="H27" s="40"/>
      <c r="I27" s="40"/>
      <c r="J27" s="40"/>
      <c r="K27" s="40">
        <v>-5571.4285714285697</v>
      </c>
      <c r="L27" s="40">
        <f>-VLOOKUP($A27,'ZH02'!$B:$N,4,0)</f>
        <v>-13000</v>
      </c>
      <c r="M27" s="40">
        <f>-VLOOKUP($A27,'ZH02'!$B:$N,4,0)</f>
        <v>-13000</v>
      </c>
      <c r="N27" s="40">
        <f>-VLOOKUP($A27,'ZH02'!$B:$N,4,0)</f>
        <v>-13000</v>
      </c>
      <c r="O27" s="38"/>
      <c r="S27" s="225" t="s">
        <v>312</v>
      </c>
      <c r="T27" s="226">
        <f>SUM(T20:T26)</f>
        <v>2228760</v>
      </c>
      <c r="U27" s="227" t="e">
        <f>SUM(U18:U26)</f>
        <v>#REF!</v>
      </c>
    </row>
    <row r="28" spans="1:21" ht="15.75" customHeight="1" outlineLevel="1">
      <c r="A28" s="48" t="s">
        <v>14</v>
      </c>
      <c r="B28" s="40"/>
      <c r="C28" s="40"/>
      <c r="D28" s="40"/>
      <c r="E28" s="40"/>
      <c r="F28" s="40"/>
      <c r="G28" s="40"/>
      <c r="H28" s="40"/>
      <c r="I28" s="40">
        <f>-VLOOKUP($A28,'ZH02'!$B:$N,4,0)</f>
        <v>-18000</v>
      </c>
      <c r="J28" s="40">
        <f>-VLOOKUP($A28,'ZH02'!$B:$N,4,0)</f>
        <v>-18000</v>
      </c>
      <c r="K28" s="40">
        <f>-VLOOKUP($A28,'ZH02'!$B:$N,4,0)</f>
        <v>-18000</v>
      </c>
      <c r="L28" s="40">
        <f>-VLOOKUP($A28,'ZH02'!$B:$N,4,0)</f>
        <v>-18000</v>
      </c>
      <c r="M28" s="40">
        <f>-VLOOKUP($A28,'ZH02'!$B:$N,4,0)</f>
        <v>-18000</v>
      </c>
      <c r="N28" s="40">
        <f>-VLOOKUP($A28,'ZH02'!$B:$N,4,0)</f>
        <v>-18000</v>
      </c>
      <c r="O28" s="38"/>
    </row>
    <row r="29" spans="1:21" ht="15.75" customHeight="1" outlineLevel="1">
      <c r="A29" s="48" t="s">
        <v>39</v>
      </c>
      <c r="B29" s="40"/>
      <c r="C29" s="40"/>
      <c r="D29" s="40"/>
      <c r="E29" s="40"/>
      <c r="F29" s="40"/>
      <c r="G29" s="40"/>
      <c r="H29" s="40"/>
      <c r="I29" s="40">
        <f>-VLOOKUP($A29,'ZH02'!$B:$N,4,0)</f>
        <v>-15000</v>
      </c>
      <c r="J29" s="40">
        <f>-VLOOKUP($A29,'ZH02'!$B:$N,4,0)</f>
        <v>-15000</v>
      </c>
      <c r="K29" s="40">
        <f>-VLOOKUP($A29,'ZH02'!$B:$N,4,0)</f>
        <v>-15000</v>
      </c>
      <c r="L29" s="40">
        <f>-VLOOKUP($A29,'ZH02'!$B:$N,4,0)</f>
        <v>-15000</v>
      </c>
      <c r="M29" s="40">
        <f>-VLOOKUP($A29,'ZH02'!$B:$N,4,0)</f>
        <v>-15000</v>
      </c>
      <c r="N29" s="40">
        <f>-VLOOKUP($A29,'ZH02'!$B:$N,4,0)</f>
        <v>-15000</v>
      </c>
      <c r="O29" s="38"/>
    </row>
    <row r="30" spans="1:21" ht="15.75" customHeight="1">
      <c r="A30" s="34" t="s">
        <v>50</v>
      </c>
      <c r="B30" s="46">
        <f t="shared" ref="B30:N30" si="6">SUM(B31:B32)</f>
        <v>0</v>
      </c>
      <c r="C30" s="46">
        <f t="shared" si="6"/>
        <v>0</v>
      </c>
      <c r="D30" s="46">
        <f t="shared" si="6"/>
        <v>0</v>
      </c>
      <c r="E30" s="46">
        <f t="shared" si="6"/>
        <v>0</v>
      </c>
      <c r="F30" s="46">
        <f t="shared" si="6"/>
        <v>0</v>
      </c>
      <c r="G30" s="46">
        <f t="shared" si="6"/>
        <v>0</v>
      </c>
      <c r="H30" s="46">
        <f t="shared" si="6"/>
        <v>0</v>
      </c>
      <c r="I30" s="46">
        <f t="shared" si="6"/>
        <v>0</v>
      </c>
      <c r="J30" s="46">
        <f t="shared" si="6"/>
        <v>0</v>
      </c>
      <c r="K30" s="46">
        <f t="shared" si="6"/>
        <v>0</v>
      </c>
      <c r="L30" s="46">
        <f t="shared" si="6"/>
        <v>0</v>
      </c>
      <c r="M30" s="47">
        <f t="shared" si="6"/>
        <v>0</v>
      </c>
      <c r="N30" s="47">
        <f t="shared" si="6"/>
        <v>0</v>
      </c>
      <c r="O30" s="38">
        <f>SUM(D30:M30)</f>
        <v>0</v>
      </c>
    </row>
    <row r="31" spans="1:21" ht="15.75" customHeight="1" outlineLevel="1">
      <c r="A31" s="48" t="s">
        <v>56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21" ht="15.75" customHeight="1" outlineLevel="1">
      <c r="A32" s="49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2:15" ht="15.7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2:15" ht="15.75" customHeight="1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2:15" ht="15.75" customHeight="1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2:15" ht="15.75" customHeight="1"/>
    <row r="37" spans="2:15" ht="15.75" customHeight="1"/>
    <row r="38" spans="2:15" ht="15.75" customHeight="1"/>
    <row r="39" spans="2:15" ht="15.75" customHeight="1"/>
    <row r="40" spans="2:15" ht="15.75" customHeight="1"/>
    <row r="41" spans="2:15" ht="15.75" customHeight="1"/>
    <row r="42" spans="2:15" ht="15.75" customHeight="1"/>
    <row r="43" spans="2:15" ht="15.75" customHeight="1"/>
    <row r="44" spans="2:15" ht="15.75" customHeight="1"/>
    <row r="45" spans="2:15" ht="15.75" customHeight="1"/>
    <row r="46" spans="2:15" ht="15.75" customHeight="1"/>
    <row r="47" spans="2:15" ht="15.75" customHeight="1"/>
    <row r="48" spans="2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</sheetData>
  <mergeCells count="1">
    <mergeCell ref="S16:U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F4BB5F-24E1-624E-957C-9ADD83CCCF8A}">
          <x14:formula1>
            <xm:f>'ZH02'!$B$4:$B$75</xm:f>
          </x14:formula1>
          <xm:sqref>A16:A29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1862-94FA-D04D-A30A-D3291116DAFC}">
  <dimension ref="A1:AJ655"/>
  <sheetViews>
    <sheetView zoomScale="131" zoomScaleNormal="160" workbookViewId="0">
      <selection activeCell="G2" sqref="G2"/>
    </sheetView>
  </sheetViews>
  <sheetFormatPr defaultColWidth="14.5" defaultRowHeight="15" customHeight="1" outlineLevelRow="1"/>
  <cols>
    <col min="1" max="1" width="30" customWidth="1"/>
    <col min="2" max="6" width="12.875" customWidth="1"/>
    <col min="7" max="9" width="14.125" bestFit="1" customWidth="1"/>
    <col min="10" max="14" width="12.875" customWidth="1"/>
    <col min="17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 ht="15.75">
      <c r="A2" s="11" t="s">
        <v>53</v>
      </c>
      <c r="B2" s="12"/>
      <c r="C2" s="12"/>
      <c r="D2" s="12"/>
      <c r="E2" s="12">
        <v>27744</v>
      </c>
      <c r="F2" s="12">
        <v>145184</v>
      </c>
      <c r="G2" s="12">
        <v>130368</v>
      </c>
      <c r="H2" s="12">
        <v>130368</v>
      </c>
      <c r="I2" s="12">
        <v>118272</v>
      </c>
      <c r="J2" s="12">
        <v>47712</v>
      </c>
      <c r="K2" s="12"/>
      <c r="L2" s="12"/>
      <c r="M2" s="12"/>
      <c r="N2" s="12"/>
      <c r="O2" s="12">
        <f>SUM(D2:M2)</f>
        <v>599648</v>
      </c>
    </row>
    <row r="3" spans="1:36" ht="16.5" customHeight="1">
      <c r="A3" s="13" t="s">
        <v>54</v>
      </c>
      <c r="B3" s="14">
        <f>B2*(1-B5)</f>
        <v>0</v>
      </c>
      <c r="C3" s="14">
        <f t="shared" ref="C3:M3" si="0">C2*(1-C5)</f>
        <v>0</v>
      </c>
      <c r="D3" s="14">
        <f t="shared" si="0"/>
        <v>0</v>
      </c>
      <c r="E3" s="14">
        <f t="shared" si="0"/>
        <v>26079.359999999997</v>
      </c>
      <c r="F3" s="14">
        <f t="shared" si="0"/>
        <v>136472.95999999999</v>
      </c>
      <c r="G3" s="14">
        <f t="shared" si="0"/>
        <v>106901.76000000001</v>
      </c>
      <c r="H3" s="14">
        <f t="shared" si="0"/>
        <v>106901.76000000001</v>
      </c>
      <c r="I3" s="14">
        <f t="shared" si="0"/>
        <v>96983.040000000008</v>
      </c>
      <c r="J3" s="14">
        <f t="shared" si="0"/>
        <v>39123.840000000004</v>
      </c>
      <c r="K3" s="14">
        <f t="shared" si="0"/>
        <v>0</v>
      </c>
      <c r="L3" s="14">
        <f t="shared" si="0"/>
        <v>0</v>
      </c>
      <c r="M3" s="14">
        <f t="shared" si="0"/>
        <v>0</v>
      </c>
      <c r="N3" s="14"/>
      <c r="O3" s="12">
        <f>SUM(D3:M3)</f>
        <v>512462.72000000003</v>
      </c>
    </row>
    <row r="4" spans="1:36" ht="9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6.5" customHeight="1">
      <c r="A5" s="18" t="s">
        <v>45</v>
      </c>
      <c r="B5" s="19">
        <v>0.06</v>
      </c>
      <c r="C5" s="19">
        <v>0.06</v>
      </c>
      <c r="D5" s="19">
        <v>0.06</v>
      </c>
      <c r="E5" s="19">
        <v>0.06</v>
      </c>
      <c r="F5" s="19">
        <v>0.06</v>
      </c>
      <c r="G5" s="19">
        <v>0.18</v>
      </c>
      <c r="H5" s="19">
        <v>0.18</v>
      </c>
      <c r="I5" s="19">
        <v>0.18</v>
      </c>
      <c r="J5" s="19">
        <v>0.18</v>
      </c>
      <c r="K5" s="19">
        <v>0.18</v>
      </c>
      <c r="L5" s="19">
        <v>0.18</v>
      </c>
      <c r="M5" s="19">
        <v>0.18</v>
      </c>
      <c r="N5" s="19">
        <v>0.18</v>
      </c>
      <c r="O5" s="20"/>
      <c r="P5" s="21"/>
    </row>
    <row r="6" spans="1:36" ht="9" customHeight="1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36" ht="16.5" customHeight="1">
      <c r="A7" s="18" t="s">
        <v>46</v>
      </c>
      <c r="B7" s="9">
        <v>44927</v>
      </c>
      <c r="C7" s="9">
        <v>44958</v>
      </c>
      <c r="D7" s="9">
        <v>44986</v>
      </c>
      <c r="E7" s="9">
        <v>45017</v>
      </c>
      <c r="F7" s="9">
        <v>45047</v>
      </c>
      <c r="G7" s="9">
        <v>45078</v>
      </c>
      <c r="H7" s="9">
        <v>45108</v>
      </c>
      <c r="I7" s="9">
        <v>45139</v>
      </c>
      <c r="J7" s="9">
        <v>45170</v>
      </c>
      <c r="K7" s="9">
        <v>45200</v>
      </c>
      <c r="L7" s="9">
        <v>45231</v>
      </c>
      <c r="M7" s="9">
        <v>45261</v>
      </c>
      <c r="N7" s="9">
        <v>45292</v>
      </c>
      <c r="O7" s="10" t="s">
        <v>43</v>
      </c>
    </row>
    <row r="8" spans="1:36" ht="16.5" customHeight="1">
      <c r="A8" s="23" t="s">
        <v>55</v>
      </c>
      <c r="B8" s="24">
        <f>B14</f>
        <v>0</v>
      </c>
      <c r="C8" s="24">
        <f>C14</f>
        <v>0</v>
      </c>
      <c r="D8" s="24">
        <f>D14</f>
        <v>0</v>
      </c>
      <c r="E8" s="24">
        <f t="shared" ref="E8:M8" si="1">E14</f>
        <v>0</v>
      </c>
      <c r="F8" s="24">
        <f t="shared" si="1"/>
        <v>-34000</v>
      </c>
      <c r="G8" s="24">
        <f t="shared" si="1"/>
        <v>-34000</v>
      </c>
      <c r="H8" s="24">
        <f t="shared" si="1"/>
        <v>-44000</v>
      </c>
      <c r="I8" s="24">
        <f t="shared" si="1"/>
        <v>-32000</v>
      </c>
      <c r="J8" s="24">
        <f t="shared" si="1"/>
        <v>-13096.23</v>
      </c>
      <c r="K8" s="24">
        <f t="shared" si="1"/>
        <v>0</v>
      </c>
      <c r="L8" s="24">
        <f t="shared" si="1"/>
        <v>0</v>
      </c>
      <c r="M8" s="24">
        <f t="shared" si="1"/>
        <v>0</v>
      </c>
      <c r="N8" s="24">
        <f>N14</f>
        <v>0</v>
      </c>
      <c r="O8" s="25">
        <f>SUM(D8:M8)</f>
        <v>-157096.23000000001</v>
      </c>
      <c r="T8" t="s">
        <v>28</v>
      </c>
      <c r="U8">
        <v>260</v>
      </c>
      <c r="V8">
        <v>40</v>
      </c>
      <c r="W8">
        <f>V8*U8</f>
        <v>10400</v>
      </c>
    </row>
    <row r="9" spans="1:36" ht="16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T9" t="s">
        <v>32</v>
      </c>
      <c r="U9">
        <v>104</v>
      </c>
      <c r="V9">
        <v>40</v>
      </c>
      <c r="W9">
        <f>V9*U9</f>
        <v>4160</v>
      </c>
    </row>
    <row r="10" spans="1:36" ht="16.5" customHeight="1">
      <c r="A10" s="27" t="s">
        <v>47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  <c r="T10" t="s">
        <v>40</v>
      </c>
      <c r="U10">
        <v>240</v>
      </c>
      <c r="V10">
        <v>40</v>
      </c>
      <c r="W10">
        <f>V10*U10</f>
        <v>9600</v>
      </c>
    </row>
    <row r="11" spans="1:36" ht="16.5" customHeight="1">
      <c r="A11" s="28" t="s">
        <v>55</v>
      </c>
      <c r="B11" s="29">
        <f>B3+B8</f>
        <v>0</v>
      </c>
      <c r="C11" s="29">
        <f t="shared" ref="C11:M11" si="2">C3+C8</f>
        <v>0</v>
      </c>
      <c r="D11" s="29">
        <f t="shared" si="2"/>
        <v>0</v>
      </c>
      <c r="E11" s="29">
        <f t="shared" si="2"/>
        <v>26079.359999999997</v>
      </c>
      <c r="F11" s="29">
        <f t="shared" si="2"/>
        <v>102472.95999999999</v>
      </c>
      <c r="G11" s="29">
        <f t="shared" si="2"/>
        <v>72901.760000000009</v>
      </c>
      <c r="H11" s="29">
        <f t="shared" si="2"/>
        <v>62901.760000000009</v>
      </c>
      <c r="I11" s="29">
        <f t="shared" si="2"/>
        <v>64983.040000000008</v>
      </c>
      <c r="J11" s="29">
        <f t="shared" si="2"/>
        <v>26027.610000000004</v>
      </c>
      <c r="K11" s="29">
        <f t="shared" si="2"/>
        <v>0</v>
      </c>
      <c r="L11" s="29">
        <f t="shared" si="2"/>
        <v>0</v>
      </c>
      <c r="M11" s="29">
        <f t="shared" si="2"/>
        <v>0</v>
      </c>
      <c r="N11" s="29">
        <f>N3+N8</f>
        <v>0</v>
      </c>
      <c r="O11" s="30">
        <f>SUM(D11:M11)</f>
        <v>355366.49</v>
      </c>
      <c r="T11" t="s">
        <v>38</v>
      </c>
      <c r="U11">
        <v>160</v>
      </c>
      <c r="W11">
        <f>V11*U11</f>
        <v>0</v>
      </c>
    </row>
    <row r="12" spans="1:36" ht="16.5" customHeight="1">
      <c r="A12" s="26"/>
      <c r="B12" s="43" t="e">
        <f>B11/B3</f>
        <v>#DIV/0!</v>
      </c>
      <c r="C12" s="43" t="e">
        <f t="shared" ref="C12:O12" si="3">C11/C3</f>
        <v>#DIV/0!</v>
      </c>
      <c r="D12" s="43" t="e">
        <f t="shared" si="3"/>
        <v>#DIV/0!</v>
      </c>
      <c r="E12" s="43">
        <f t="shared" si="3"/>
        <v>1</v>
      </c>
      <c r="F12" s="43">
        <f t="shared" si="3"/>
        <v>0.75086639873569094</v>
      </c>
      <c r="G12" s="43">
        <f t="shared" si="3"/>
        <v>0.68195098003999188</v>
      </c>
      <c r="H12" s="43">
        <f t="shared" si="3"/>
        <v>0.5884071506399895</v>
      </c>
      <c r="I12" s="43">
        <f t="shared" si="3"/>
        <v>0.67004540175271887</v>
      </c>
      <c r="J12" s="43">
        <f t="shared" si="3"/>
        <v>0.66526215218138096</v>
      </c>
      <c r="K12" s="43" t="e">
        <f t="shared" si="3"/>
        <v>#DIV/0!</v>
      </c>
      <c r="L12" s="43" t="e">
        <f t="shared" si="3"/>
        <v>#DIV/0!</v>
      </c>
      <c r="M12" s="43" t="e">
        <f t="shared" si="3"/>
        <v>#DIV/0!</v>
      </c>
      <c r="N12" s="43" t="e">
        <f t="shared" si="3"/>
        <v>#DIV/0!</v>
      </c>
      <c r="O12" s="43">
        <f t="shared" si="3"/>
        <v>0.69344847172492852</v>
      </c>
      <c r="T12" t="s">
        <v>39</v>
      </c>
      <c r="U12">
        <v>180</v>
      </c>
      <c r="W12">
        <f>V12*U12</f>
        <v>0</v>
      </c>
    </row>
    <row r="13" spans="1:36" ht="21" customHeight="1">
      <c r="A13" s="26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W13">
        <f>SUM(W8:W12)</f>
        <v>24160</v>
      </c>
    </row>
    <row r="14" spans="1:36" ht="15.75" customHeight="1">
      <c r="A14" s="18" t="str">
        <f>A8</f>
        <v>Reune</v>
      </c>
      <c r="B14" s="37">
        <f t="shared" ref="B14:O14" si="4">B15+B19+B21</f>
        <v>0</v>
      </c>
      <c r="C14" s="37">
        <f t="shared" si="4"/>
        <v>0</v>
      </c>
      <c r="D14" s="37">
        <f t="shared" si="4"/>
        <v>0</v>
      </c>
      <c r="E14" s="37">
        <f t="shared" si="4"/>
        <v>0</v>
      </c>
      <c r="F14" s="37">
        <f t="shared" si="4"/>
        <v>-34000</v>
      </c>
      <c r="G14" s="37">
        <f t="shared" si="4"/>
        <v>-34000</v>
      </c>
      <c r="H14" s="37">
        <f t="shared" si="4"/>
        <v>-44000</v>
      </c>
      <c r="I14" s="37">
        <f t="shared" si="4"/>
        <v>-32000</v>
      </c>
      <c r="J14" s="37">
        <f t="shared" si="4"/>
        <v>-13096.23</v>
      </c>
      <c r="K14" s="37">
        <f t="shared" si="4"/>
        <v>0</v>
      </c>
      <c r="L14" s="37">
        <f t="shared" si="4"/>
        <v>0</v>
      </c>
      <c r="M14" s="37">
        <f t="shared" si="4"/>
        <v>0</v>
      </c>
      <c r="N14" s="37">
        <f t="shared" si="4"/>
        <v>0</v>
      </c>
      <c r="O14" s="37">
        <f t="shared" si="4"/>
        <v>-157096.23000000001</v>
      </c>
    </row>
    <row r="15" spans="1:36" ht="15.75" customHeight="1">
      <c r="A15" s="34" t="s">
        <v>48</v>
      </c>
      <c r="B15" s="45">
        <f t="shared" ref="B15:N15" si="5">SUM(B16:B18)</f>
        <v>0</v>
      </c>
      <c r="C15" s="46">
        <f t="shared" si="5"/>
        <v>0</v>
      </c>
      <c r="D15" s="46">
        <f t="shared" si="5"/>
        <v>0</v>
      </c>
      <c r="E15" s="46">
        <f t="shared" si="5"/>
        <v>0</v>
      </c>
      <c r="F15" s="46">
        <f t="shared" si="5"/>
        <v>-31000</v>
      </c>
      <c r="G15" s="46">
        <f t="shared" si="5"/>
        <v>-31000</v>
      </c>
      <c r="H15" s="46">
        <f t="shared" si="5"/>
        <v>-41000</v>
      </c>
      <c r="I15" s="46">
        <f t="shared" si="5"/>
        <v>-25000</v>
      </c>
      <c r="J15" s="46">
        <f t="shared" si="5"/>
        <v>-13096.23</v>
      </c>
      <c r="K15" s="46">
        <f t="shared" si="5"/>
        <v>0</v>
      </c>
      <c r="L15" s="46">
        <f t="shared" si="5"/>
        <v>0</v>
      </c>
      <c r="M15" s="47">
        <f t="shared" si="5"/>
        <v>0</v>
      </c>
      <c r="N15" s="47">
        <f t="shared" si="5"/>
        <v>0</v>
      </c>
      <c r="O15" s="38">
        <f>SUM(D15:M15)</f>
        <v>-141096.23000000001</v>
      </c>
    </row>
    <row r="16" spans="1:36" ht="15.75" customHeight="1" outlineLevel="1">
      <c r="A16" s="48" t="s">
        <v>14</v>
      </c>
      <c r="B16" s="40"/>
      <c r="C16" s="40"/>
      <c r="D16" s="40"/>
      <c r="E16" s="40"/>
      <c r="F16" s="40">
        <f>-VLOOKUP($A$16,'ZH02'!$B:$N,4,0)</f>
        <v>-18000</v>
      </c>
      <c r="G16" s="40">
        <f>-VLOOKUP($A$16,'ZH02'!$B:$N,4,0)</f>
        <v>-18000</v>
      </c>
      <c r="H16" s="40">
        <f>-VLOOKUP($A$16,'ZH02'!$B:$N,4,0)</f>
        <v>-18000</v>
      </c>
      <c r="I16" s="40"/>
      <c r="J16" s="40"/>
      <c r="K16" s="40"/>
      <c r="L16" s="40"/>
      <c r="M16" s="40"/>
      <c r="N16" s="40"/>
      <c r="O16" s="38"/>
    </row>
    <row r="17" spans="1:15" ht="15.75" customHeight="1" outlineLevel="1">
      <c r="A17" s="48" t="s">
        <v>8</v>
      </c>
      <c r="B17" s="40"/>
      <c r="C17" s="40"/>
      <c r="D17" s="40"/>
      <c r="E17" s="40"/>
      <c r="F17" s="40"/>
      <c r="G17" s="40"/>
      <c r="H17" s="40">
        <f>-VLOOKUP($A$17,'ZH02'!$B:$N,4,0)</f>
        <v>-10000</v>
      </c>
      <c r="I17" s="40">
        <v>-12000</v>
      </c>
      <c r="J17" s="40">
        <v>-6286.71</v>
      </c>
      <c r="K17" s="40"/>
      <c r="L17" s="40"/>
      <c r="M17" s="40"/>
      <c r="N17" s="40"/>
      <c r="O17" s="38"/>
    </row>
    <row r="18" spans="1:15" ht="15.75" customHeight="1" outlineLevel="1">
      <c r="A18" s="48" t="s">
        <v>25</v>
      </c>
      <c r="B18" s="40"/>
      <c r="C18" s="40"/>
      <c r="D18" s="40"/>
      <c r="E18" s="40"/>
      <c r="F18" s="40">
        <f>-VLOOKUP($A$18,'ZH02'!$B:$N,4,0)</f>
        <v>-13000</v>
      </c>
      <c r="G18" s="40">
        <f>-VLOOKUP($A$18,'ZH02'!$B:$N,4,0)</f>
        <v>-13000</v>
      </c>
      <c r="H18" s="40">
        <f>-VLOOKUP($A$18,'ZH02'!$B:$N,4,0)</f>
        <v>-13000</v>
      </c>
      <c r="I18" s="40">
        <f>-VLOOKUP($A$18,'ZH02'!$B:$N,4,0)</f>
        <v>-13000</v>
      </c>
      <c r="J18" s="40">
        <v>-6809.52</v>
      </c>
      <c r="K18" s="40"/>
      <c r="L18" s="40"/>
      <c r="M18" s="40"/>
      <c r="N18" s="40"/>
      <c r="O18" s="38"/>
    </row>
    <row r="19" spans="1:15" ht="15.75" customHeight="1">
      <c r="A19" s="34" t="s">
        <v>49</v>
      </c>
      <c r="B19" s="46">
        <f>SUM(B20)</f>
        <v>0</v>
      </c>
      <c r="C19" s="46">
        <f t="shared" ref="C19:N19" si="6">SUM(C20)</f>
        <v>0</v>
      </c>
      <c r="D19" s="46">
        <f t="shared" si="6"/>
        <v>0</v>
      </c>
      <c r="E19" s="46">
        <f t="shared" si="6"/>
        <v>0</v>
      </c>
      <c r="F19" s="46">
        <f t="shared" si="6"/>
        <v>-3000</v>
      </c>
      <c r="G19" s="46">
        <f t="shared" si="6"/>
        <v>-3000</v>
      </c>
      <c r="H19" s="46">
        <f t="shared" si="6"/>
        <v>-3000</v>
      </c>
      <c r="I19" s="46">
        <f t="shared" si="6"/>
        <v>0</v>
      </c>
      <c r="J19" s="46">
        <f t="shared" si="6"/>
        <v>0</v>
      </c>
      <c r="K19" s="46">
        <f t="shared" si="6"/>
        <v>0</v>
      </c>
      <c r="L19" s="46">
        <f t="shared" si="6"/>
        <v>0</v>
      </c>
      <c r="M19" s="47">
        <f t="shared" si="6"/>
        <v>0</v>
      </c>
      <c r="N19" s="47">
        <f t="shared" si="6"/>
        <v>0</v>
      </c>
      <c r="O19" s="38">
        <f>SUM(D19:M19)</f>
        <v>-9000</v>
      </c>
    </row>
    <row r="20" spans="1:15" ht="15.75" customHeight="1" outlineLevel="1">
      <c r="A20" s="48" t="s">
        <v>18</v>
      </c>
      <c r="B20" s="40"/>
      <c r="C20" s="40"/>
      <c r="D20" s="40"/>
      <c r="E20" s="40"/>
      <c r="F20" s="40">
        <f>-VLOOKUP($A$20,'ZH02'!$B:$N,4,0)</f>
        <v>-3000</v>
      </c>
      <c r="G20" s="40">
        <f>-VLOOKUP($A$20,'ZH02'!$B:$N,4,0)</f>
        <v>-3000</v>
      </c>
      <c r="H20" s="40">
        <f>-VLOOKUP($A$20,'ZH02'!$B:$N,4,0)</f>
        <v>-3000</v>
      </c>
      <c r="I20" s="40"/>
      <c r="J20" s="40"/>
      <c r="K20" s="40"/>
      <c r="L20" s="40"/>
      <c r="M20" s="40"/>
      <c r="N20" s="40"/>
      <c r="O20" s="38"/>
    </row>
    <row r="21" spans="1:15" ht="15.75" customHeight="1">
      <c r="A21" s="34" t="s">
        <v>50</v>
      </c>
      <c r="B21" s="46">
        <f t="shared" ref="B21:N21" si="7">SUM(B22:B23)</f>
        <v>0</v>
      </c>
      <c r="C21" s="46">
        <f t="shared" si="7"/>
        <v>0</v>
      </c>
      <c r="D21" s="46">
        <f t="shared" si="7"/>
        <v>0</v>
      </c>
      <c r="E21" s="46">
        <f t="shared" si="7"/>
        <v>0</v>
      </c>
      <c r="F21" s="46">
        <f t="shared" si="7"/>
        <v>0</v>
      </c>
      <c r="G21" s="46">
        <f t="shared" si="7"/>
        <v>0</v>
      </c>
      <c r="H21" s="46">
        <f t="shared" si="7"/>
        <v>0</v>
      </c>
      <c r="I21" s="46">
        <f t="shared" si="7"/>
        <v>-7000</v>
      </c>
      <c r="J21" s="46">
        <f t="shared" si="7"/>
        <v>0</v>
      </c>
      <c r="K21" s="46">
        <f t="shared" si="7"/>
        <v>0</v>
      </c>
      <c r="L21" s="46">
        <f t="shared" si="7"/>
        <v>0</v>
      </c>
      <c r="M21" s="47">
        <f t="shared" si="7"/>
        <v>0</v>
      </c>
      <c r="N21" s="47">
        <f t="shared" si="7"/>
        <v>0</v>
      </c>
      <c r="O21" s="38">
        <f>SUM(D21:M21)</f>
        <v>-7000</v>
      </c>
    </row>
    <row r="22" spans="1:15" ht="15.75" customHeight="1" outlineLevel="1">
      <c r="A22" s="48" t="s">
        <v>56</v>
      </c>
      <c r="B22" s="38"/>
      <c r="C22" s="38"/>
      <c r="D22" s="38"/>
      <c r="E22" s="38"/>
      <c r="F22" s="38"/>
      <c r="G22" s="38"/>
      <c r="H22" s="38"/>
      <c r="I22" s="38">
        <v>-7000</v>
      </c>
      <c r="J22" s="38"/>
      <c r="K22" s="38"/>
      <c r="L22" s="38"/>
      <c r="M22" s="38"/>
      <c r="N22" s="38"/>
      <c r="O22" s="38"/>
    </row>
    <row r="23" spans="1:15" ht="15.75" customHeight="1" outlineLevel="1">
      <c r="A23" s="49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ht="15.75" customHeight="1">
      <c r="B24" s="38"/>
      <c r="C24" s="38"/>
      <c r="D24" s="38"/>
      <c r="E24" s="38"/>
      <c r="F24" s="38">
        <v>168</v>
      </c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5.75" customHeight="1">
      <c r="J25" s="197"/>
    </row>
    <row r="26" spans="1:15" ht="15.75" customHeight="1">
      <c r="J26" s="19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CF8F1F9-7474-2645-92A3-D15CA7214A54}">
          <x14:formula1>
            <xm:f>'ZH02'!$B$4:$B$75</xm:f>
          </x14:formula1>
          <xm:sqref>A16:A18 A20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7388-D9B5-BE4D-803D-358980B81D23}">
  <dimension ref="A1:AJ851"/>
  <sheetViews>
    <sheetView zoomScale="150" zoomScaleNormal="150" workbookViewId="0">
      <selection activeCell="E2" sqref="E2:F2"/>
    </sheetView>
  </sheetViews>
  <sheetFormatPr defaultColWidth="14.5" defaultRowHeight="15.75" outlineLevelRow="1"/>
  <cols>
    <col min="1" max="1" width="30" customWidth="1"/>
    <col min="2" max="14" width="12.875" customWidth="1"/>
    <col min="17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>
      <c r="A2" s="11" t="s">
        <v>62</v>
      </c>
      <c r="B2" s="12"/>
      <c r="C2" s="12"/>
      <c r="D2" s="12"/>
      <c r="E2" s="12">
        <v>52147.199999999997</v>
      </c>
      <c r="F2" s="12">
        <v>52147.199999999997</v>
      </c>
      <c r="G2" s="12">
        <v>80704</v>
      </c>
      <c r="H2" s="12">
        <v>78220.800000000003</v>
      </c>
      <c r="I2" s="12">
        <v>78220.800000000003</v>
      </c>
      <c r="J2" s="12">
        <v>78220.800000000003</v>
      </c>
      <c r="K2" s="12">
        <v>78220.800000000003</v>
      </c>
      <c r="L2" s="12">
        <v>78220.800000000003</v>
      </c>
      <c r="M2" s="12">
        <v>78220.800000000003</v>
      </c>
      <c r="N2" s="12"/>
      <c r="O2" s="12">
        <f>SUM(B2:M2)</f>
        <v>654323.20000000007</v>
      </c>
    </row>
    <row r="3" spans="1:36" ht="16.5" customHeight="1">
      <c r="A3" s="13" t="s">
        <v>63</v>
      </c>
      <c r="B3" s="14">
        <f>B2*(1-B5)</f>
        <v>0</v>
      </c>
      <c r="C3" s="14">
        <f t="shared" ref="C3:M3" si="0">SUM(C2:C2)*(1-C5)</f>
        <v>0</v>
      </c>
      <c r="D3" s="14">
        <f t="shared" si="0"/>
        <v>0</v>
      </c>
      <c r="E3" s="14">
        <f t="shared" si="0"/>
        <v>49018.367999999995</v>
      </c>
      <c r="F3" s="14">
        <f t="shared" si="0"/>
        <v>49018.367999999995</v>
      </c>
      <c r="G3" s="14">
        <f t="shared" si="0"/>
        <v>72633.600000000006</v>
      </c>
      <c r="H3" s="14">
        <f t="shared" si="0"/>
        <v>70398.720000000001</v>
      </c>
      <c r="I3" s="14">
        <f t="shared" si="0"/>
        <v>64141.056000000004</v>
      </c>
      <c r="J3" s="14">
        <f t="shared" si="0"/>
        <v>64141.056000000004</v>
      </c>
      <c r="K3" s="14">
        <f t="shared" si="0"/>
        <v>64141.056000000004</v>
      </c>
      <c r="L3" s="14">
        <f t="shared" si="0"/>
        <v>64141.056000000004</v>
      </c>
      <c r="M3" s="14">
        <f t="shared" si="0"/>
        <v>64141.056000000004</v>
      </c>
      <c r="N3" s="14"/>
      <c r="O3" s="12">
        <f>SUM(B3:M3)</f>
        <v>561774.33600000001</v>
      </c>
    </row>
    <row r="4" spans="1:36" ht="9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6.5" customHeight="1">
      <c r="A5" s="18" t="s">
        <v>45</v>
      </c>
      <c r="B5" s="19">
        <v>0.06</v>
      </c>
      <c r="C5" s="19">
        <v>0.06</v>
      </c>
      <c r="D5" s="19">
        <v>0.06</v>
      </c>
      <c r="E5" s="19">
        <v>0.06</v>
      </c>
      <c r="F5" s="19">
        <v>0.06</v>
      </c>
      <c r="G5" s="19">
        <v>0.1</v>
      </c>
      <c r="H5" s="19">
        <v>0.1</v>
      </c>
      <c r="I5" s="19">
        <v>0.18</v>
      </c>
      <c r="J5" s="19">
        <v>0.18</v>
      </c>
      <c r="K5" s="19">
        <v>0.18</v>
      </c>
      <c r="L5" s="19">
        <v>0.18</v>
      </c>
      <c r="M5" s="19">
        <v>0.18</v>
      </c>
      <c r="N5" s="19">
        <v>0.18</v>
      </c>
      <c r="O5" s="20"/>
      <c r="P5" s="21"/>
    </row>
    <row r="6" spans="1:36" ht="9" customHeight="1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36" ht="16.5" customHeight="1">
      <c r="A7" s="18" t="s">
        <v>46</v>
      </c>
      <c r="B7" s="9">
        <v>44927</v>
      </c>
      <c r="C7" s="9">
        <v>44958</v>
      </c>
      <c r="D7" s="9">
        <v>44986</v>
      </c>
      <c r="E7" s="9">
        <v>45017</v>
      </c>
      <c r="F7" s="9">
        <v>45047</v>
      </c>
      <c r="G7" s="9">
        <v>45078</v>
      </c>
      <c r="H7" s="9">
        <v>45108</v>
      </c>
      <c r="I7" s="9">
        <v>45139</v>
      </c>
      <c r="J7" s="9">
        <v>45170</v>
      </c>
      <c r="K7" s="9">
        <v>45200</v>
      </c>
      <c r="L7" s="9">
        <v>45231</v>
      </c>
      <c r="M7" s="9">
        <v>45261</v>
      </c>
      <c r="N7" s="9">
        <v>45292</v>
      </c>
      <c r="O7" s="10" t="s">
        <v>43</v>
      </c>
    </row>
    <row r="8" spans="1:36" ht="16.5" customHeight="1">
      <c r="A8" s="23" t="s">
        <v>64</v>
      </c>
      <c r="B8" s="24">
        <f>B14</f>
        <v>0</v>
      </c>
      <c r="C8" s="24">
        <f>C14</f>
        <v>0</v>
      </c>
      <c r="D8" s="24">
        <f>D14</f>
        <v>0</v>
      </c>
      <c r="E8" s="24">
        <f t="shared" ref="E8:M8" si="1">E14</f>
        <v>-3100</v>
      </c>
      <c r="F8" s="24">
        <f t="shared" si="1"/>
        <v>-19381</v>
      </c>
      <c r="G8" s="24">
        <f t="shared" si="1"/>
        <v>-23429</v>
      </c>
      <c r="H8" s="24">
        <f t="shared" si="1"/>
        <v>-26714.28571428571</v>
      </c>
      <c r="I8" s="24">
        <f t="shared" si="1"/>
        <v>-30000</v>
      </c>
      <c r="J8" s="24">
        <f t="shared" si="1"/>
        <v>-30000</v>
      </c>
      <c r="K8" s="24">
        <f t="shared" si="1"/>
        <v>-30000</v>
      </c>
      <c r="L8" s="24">
        <f t="shared" si="1"/>
        <v>-30000</v>
      </c>
      <c r="M8" s="24">
        <f t="shared" si="1"/>
        <v>-30000</v>
      </c>
      <c r="N8" s="24">
        <f>N14</f>
        <v>-26000</v>
      </c>
      <c r="O8" s="25">
        <f>SUM(D8:N8)</f>
        <v>-248624.28571428571</v>
      </c>
      <c r="T8" s="50" t="s">
        <v>26</v>
      </c>
      <c r="U8" s="36">
        <v>176</v>
      </c>
      <c r="W8">
        <f>V8*U8</f>
        <v>0</v>
      </c>
    </row>
    <row r="9" spans="1:36" ht="16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T9" s="44" t="s">
        <v>11</v>
      </c>
      <c r="U9" s="36">
        <v>120</v>
      </c>
      <c r="W9">
        <f>V9*U9</f>
        <v>0</v>
      </c>
    </row>
    <row r="10" spans="1:36" ht="16.5" customHeight="1">
      <c r="A10" s="27" t="s">
        <v>47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  <c r="T10" s="51" t="s">
        <v>21</v>
      </c>
      <c r="U10" s="36">
        <v>120</v>
      </c>
      <c r="V10">
        <v>168</v>
      </c>
      <c r="W10">
        <f>V10*U10</f>
        <v>20160</v>
      </c>
    </row>
    <row r="11" spans="1:36" ht="16.5" customHeight="1">
      <c r="A11" s="28" t="s">
        <v>64</v>
      </c>
      <c r="B11" s="29">
        <f>B3+B8</f>
        <v>0</v>
      </c>
      <c r="C11" s="29">
        <f t="shared" ref="C11:M11" si="2">C3+C8</f>
        <v>0</v>
      </c>
      <c r="D11" s="29">
        <f t="shared" si="2"/>
        <v>0</v>
      </c>
      <c r="E11" s="29">
        <f t="shared" si="2"/>
        <v>45918.367999999995</v>
      </c>
      <c r="F11" s="29">
        <f t="shared" si="2"/>
        <v>29637.367999999995</v>
      </c>
      <c r="G11" s="29">
        <f t="shared" si="2"/>
        <v>49204.600000000006</v>
      </c>
      <c r="H11" s="29">
        <f t="shared" si="2"/>
        <v>43684.434285714291</v>
      </c>
      <c r="I11" s="29">
        <f t="shared" si="2"/>
        <v>34141.056000000004</v>
      </c>
      <c r="J11" s="29">
        <f t="shared" si="2"/>
        <v>34141.056000000004</v>
      </c>
      <c r="K11" s="29">
        <f t="shared" si="2"/>
        <v>34141.056000000004</v>
      </c>
      <c r="L11" s="29">
        <f t="shared" si="2"/>
        <v>34141.056000000004</v>
      </c>
      <c r="M11" s="29">
        <f t="shared" si="2"/>
        <v>34141.056000000004</v>
      </c>
      <c r="N11" s="29">
        <f>N3+N8</f>
        <v>-26000</v>
      </c>
      <c r="O11" s="30">
        <f>SUM(D11:N11)</f>
        <v>313150.05028571427</v>
      </c>
      <c r="T11" s="51" t="s">
        <v>61</v>
      </c>
      <c r="U11" s="36">
        <v>110.4</v>
      </c>
      <c r="V11">
        <v>168</v>
      </c>
      <c r="W11">
        <f>V11*U11</f>
        <v>18547.2</v>
      </c>
    </row>
    <row r="12" spans="1:36" ht="16.5" customHeight="1">
      <c r="A12" s="26"/>
      <c r="B12" s="43" t="e">
        <f>B11/B3</f>
        <v>#DIV/0!</v>
      </c>
      <c r="C12" s="43" t="e">
        <f t="shared" ref="C12:O12" si="3">C11/C3</f>
        <v>#DIV/0!</v>
      </c>
      <c r="D12" s="43" t="e">
        <f t="shared" si="3"/>
        <v>#DIV/0!</v>
      </c>
      <c r="E12" s="43">
        <f t="shared" si="3"/>
        <v>0.93675840044287073</v>
      </c>
      <c r="F12" s="43">
        <f t="shared" si="3"/>
        <v>0.604617599672025</v>
      </c>
      <c r="G12" s="43">
        <f t="shared" si="3"/>
        <v>0.67743578729403475</v>
      </c>
      <c r="H12" s="43">
        <f t="shared" si="3"/>
        <v>0.62052881480961997</v>
      </c>
      <c r="I12" s="43">
        <f t="shared" si="3"/>
        <v>0.53228085299998806</v>
      </c>
      <c r="J12" s="43">
        <f t="shared" si="3"/>
        <v>0.53228085299998806</v>
      </c>
      <c r="K12" s="43">
        <f t="shared" si="3"/>
        <v>0.53228085299998806</v>
      </c>
      <c r="L12" s="43">
        <f t="shared" si="3"/>
        <v>0.53228085299998806</v>
      </c>
      <c r="M12" s="43">
        <f t="shared" si="3"/>
        <v>0.53228085299998806</v>
      </c>
      <c r="N12" s="43" t="e">
        <f t="shared" si="3"/>
        <v>#DIV/0!</v>
      </c>
      <c r="O12" s="43">
        <f t="shared" si="3"/>
        <v>0.55743032427475336</v>
      </c>
      <c r="V12">
        <v>168</v>
      </c>
      <c r="W12">
        <f>V12*U12</f>
        <v>0</v>
      </c>
    </row>
    <row r="13" spans="1:36" ht="21" customHeight="1">
      <c r="A13" s="26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W13">
        <f>SUM(W8:W12)</f>
        <v>38707.199999999997</v>
      </c>
    </row>
    <row r="14" spans="1:36" ht="15.75" customHeight="1">
      <c r="A14" s="18" t="str">
        <f>A8</f>
        <v xml:space="preserve">Crefisa+ </v>
      </c>
      <c r="B14" s="37">
        <f t="shared" ref="B14:O14" si="4">B15+B20+B22</f>
        <v>0</v>
      </c>
      <c r="C14" s="37">
        <f t="shared" si="4"/>
        <v>0</v>
      </c>
      <c r="D14" s="37">
        <f t="shared" si="4"/>
        <v>0</v>
      </c>
      <c r="E14" s="37">
        <f t="shared" si="4"/>
        <v>-3100</v>
      </c>
      <c r="F14" s="37">
        <f t="shared" si="4"/>
        <v>-19381</v>
      </c>
      <c r="G14" s="37">
        <f t="shared" si="4"/>
        <v>-23429</v>
      </c>
      <c r="H14" s="37">
        <f t="shared" si="4"/>
        <v>-26714.28571428571</v>
      </c>
      <c r="I14" s="37">
        <f t="shared" si="4"/>
        <v>-30000</v>
      </c>
      <c r="J14" s="37">
        <f t="shared" si="4"/>
        <v>-30000</v>
      </c>
      <c r="K14" s="37">
        <f t="shared" si="4"/>
        <v>-30000</v>
      </c>
      <c r="L14" s="37">
        <f t="shared" si="4"/>
        <v>-30000</v>
      </c>
      <c r="M14" s="37">
        <f t="shared" si="4"/>
        <v>-30000</v>
      </c>
      <c r="N14" s="37">
        <f t="shared" si="4"/>
        <v>-26000</v>
      </c>
      <c r="O14" s="37">
        <f t="shared" si="4"/>
        <v>-248624.28571428571</v>
      </c>
    </row>
    <row r="15" spans="1:36" ht="15.75" customHeight="1">
      <c r="A15" s="34" t="s">
        <v>48</v>
      </c>
      <c r="B15" s="45">
        <f t="shared" ref="B15:N15" si="5">SUM(B16:B19)</f>
        <v>0</v>
      </c>
      <c r="C15" s="46">
        <f t="shared" si="5"/>
        <v>0</v>
      </c>
      <c r="D15" s="46">
        <f t="shared" si="5"/>
        <v>0</v>
      </c>
      <c r="E15" s="46">
        <f t="shared" si="5"/>
        <v>0</v>
      </c>
      <c r="F15" s="46">
        <f t="shared" si="5"/>
        <v>-16000</v>
      </c>
      <c r="G15" s="46">
        <f t="shared" si="5"/>
        <v>-19429</v>
      </c>
      <c r="H15" s="46">
        <f t="shared" si="5"/>
        <v>-22714.28571428571</v>
      </c>
      <c r="I15" s="46">
        <f t="shared" si="5"/>
        <v>-26000</v>
      </c>
      <c r="J15" s="46">
        <f t="shared" si="5"/>
        <v>-26000</v>
      </c>
      <c r="K15" s="46">
        <f t="shared" si="5"/>
        <v>-26000</v>
      </c>
      <c r="L15" s="46">
        <f t="shared" si="5"/>
        <v>-26000</v>
      </c>
      <c r="M15" s="47">
        <f t="shared" si="5"/>
        <v>-26000</v>
      </c>
      <c r="N15" s="47">
        <f t="shared" si="5"/>
        <v>-26000</v>
      </c>
      <c r="O15" s="38">
        <f>SUM(D15:N15)</f>
        <v>-214143.28571428571</v>
      </c>
    </row>
    <row r="16" spans="1:36" ht="15.75" customHeight="1" outlineLevel="1">
      <c r="A16" s="48" t="s">
        <v>21</v>
      </c>
      <c r="B16" s="40"/>
      <c r="C16" s="40"/>
      <c r="D16" s="40"/>
      <c r="E16" s="40"/>
      <c r="F16" s="40">
        <f>-VLOOKUP($A$16,'ZH02'!$B:$N,4,0)</f>
        <v>-8000</v>
      </c>
      <c r="G16" s="40">
        <f>-VLOOKUP($A$16,'ZH02'!$B:$N,4,0)</f>
        <v>-8000</v>
      </c>
      <c r="H16" s="40">
        <f>-VLOOKUP($A$16,'ZH02'!$B:$N,4,0)</f>
        <v>-8000</v>
      </c>
      <c r="I16" s="40">
        <f>-VLOOKUP($A$16,'ZH02'!$B:$N,4,0)</f>
        <v>-8000</v>
      </c>
      <c r="J16" s="40">
        <f>-VLOOKUP($A$16,'ZH02'!$B:$N,4,0)</f>
        <v>-8000</v>
      </c>
      <c r="K16" s="40">
        <f>-VLOOKUP($A$16,'ZH02'!$B:$N,4,0)</f>
        <v>-8000</v>
      </c>
      <c r="L16" s="40">
        <f>-VLOOKUP($A$16,'ZH02'!$B:$N,4,0)</f>
        <v>-8000</v>
      </c>
      <c r="M16" s="40">
        <f>-VLOOKUP($A$16,'ZH02'!$B:$N,4,0)</f>
        <v>-8000</v>
      </c>
      <c r="N16" s="40">
        <f>-VLOOKUP($A$16,'ZH02'!$B:$N,4,0)</f>
        <v>-8000</v>
      </c>
      <c r="O16" s="38"/>
    </row>
    <row r="17" spans="1:15" ht="15.75" customHeight="1" outlineLevel="1">
      <c r="A17" s="48" t="s">
        <v>228</v>
      </c>
      <c r="B17" s="40"/>
      <c r="C17" s="40"/>
      <c r="D17" s="40"/>
      <c r="E17" s="40"/>
      <c r="F17" s="40"/>
      <c r="G17" s="40">
        <v>-3429</v>
      </c>
      <c r="H17" s="40">
        <f>-VLOOKUP($A$17,'ZH02'!$B:$N,4,0)</f>
        <v>-9000</v>
      </c>
      <c r="I17" s="40">
        <f>-VLOOKUP($A$17,'ZH02'!$B:$N,4,0)</f>
        <v>-9000</v>
      </c>
      <c r="J17" s="40">
        <f>-VLOOKUP($A$17,'ZH02'!$B:$N,4,0)</f>
        <v>-9000</v>
      </c>
      <c r="K17" s="40">
        <f>-VLOOKUP($A$17,'ZH02'!$B:$N,4,0)</f>
        <v>-9000</v>
      </c>
      <c r="L17" s="40">
        <f>-VLOOKUP($A$17,'ZH02'!$B:$N,4,0)</f>
        <v>-9000</v>
      </c>
      <c r="M17" s="40">
        <f>-VLOOKUP($A$17,'ZH02'!$B:$N,4,0)</f>
        <v>-9000</v>
      </c>
      <c r="N17" s="40">
        <f>-VLOOKUP($A$17,'ZH02'!$B:$N,4,0)</f>
        <v>-9000</v>
      </c>
      <c r="O17" s="38"/>
    </row>
    <row r="18" spans="1:15" ht="15.75" customHeight="1" outlineLevel="1">
      <c r="A18" s="48" t="s">
        <v>304</v>
      </c>
      <c r="B18" s="40"/>
      <c r="C18" s="40"/>
      <c r="D18" s="40"/>
      <c r="E18" s="40"/>
      <c r="F18" s="40"/>
      <c r="G18" s="40"/>
      <c r="H18" s="40"/>
      <c r="I18" s="40">
        <f>-VLOOKUP($A$18,'ZH02'!$B:$N,4,0)</f>
        <v>-9000</v>
      </c>
      <c r="J18" s="40">
        <f>-VLOOKUP($A$18,'ZH02'!$B:$N,4,0)</f>
        <v>-9000</v>
      </c>
      <c r="K18" s="40">
        <f>-VLOOKUP($A$18,'ZH02'!$B:$N,4,0)</f>
        <v>-9000</v>
      </c>
      <c r="L18" s="40">
        <f>-VLOOKUP($A$18,'ZH02'!$B:$N,4,0)</f>
        <v>-9000</v>
      </c>
      <c r="M18" s="40">
        <f>-VLOOKUP($A$18,'ZH02'!$B:$N,4,0)</f>
        <v>-9000</v>
      </c>
      <c r="N18" s="40">
        <f>-VLOOKUP($A$18,'ZH02'!$B:$N,4,0)</f>
        <v>-9000</v>
      </c>
      <c r="O18" s="38"/>
    </row>
    <row r="19" spans="1:15" ht="15.75" customHeight="1" outlineLevel="1">
      <c r="A19" s="48" t="s">
        <v>23</v>
      </c>
      <c r="B19" s="40"/>
      <c r="C19" s="40"/>
      <c r="D19" s="40"/>
      <c r="E19" s="40"/>
      <c r="F19" s="40">
        <f>-VLOOKUP($A$19,'ZH02'!$B:$N,4,0)</f>
        <v>-8000</v>
      </c>
      <c r="G19" s="40">
        <f>-VLOOKUP($A$19,'ZH02'!$B:$N,4,0)</f>
        <v>-8000</v>
      </c>
      <c r="H19" s="40">
        <v>-5714.2857142857101</v>
      </c>
      <c r="I19" s="40"/>
      <c r="J19" s="40"/>
      <c r="K19" s="40"/>
      <c r="L19" s="40"/>
      <c r="M19" s="40"/>
      <c r="N19" s="40"/>
      <c r="O19" s="38"/>
    </row>
    <row r="20" spans="1:15" ht="15.75" customHeight="1">
      <c r="A20" s="34" t="s">
        <v>49</v>
      </c>
      <c r="B20" s="46">
        <f>SUM(B21)</f>
        <v>0</v>
      </c>
      <c r="C20" s="46">
        <f t="shared" ref="C20:N20" si="6">SUM(C21)</f>
        <v>0</v>
      </c>
      <c r="D20" s="46">
        <f t="shared" si="6"/>
        <v>0</v>
      </c>
      <c r="E20" s="46">
        <f t="shared" si="6"/>
        <v>0</v>
      </c>
      <c r="F20" s="46">
        <f t="shared" si="6"/>
        <v>0</v>
      </c>
      <c r="G20" s="46">
        <f t="shared" si="6"/>
        <v>0</v>
      </c>
      <c r="H20" s="46">
        <f t="shared" si="6"/>
        <v>0</v>
      </c>
      <c r="I20" s="46">
        <f t="shared" si="6"/>
        <v>0</v>
      </c>
      <c r="J20" s="46">
        <f t="shared" si="6"/>
        <v>0</v>
      </c>
      <c r="K20" s="46">
        <f t="shared" si="6"/>
        <v>0</v>
      </c>
      <c r="L20" s="46">
        <f t="shared" si="6"/>
        <v>0</v>
      </c>
      <c r="M20" s="47">
        <f t="shared" si="6"/>
        <v>0</v>
      </c>
      <c r="N20" s="47">
        <f t="shared" si="6"/>
        <v>0</v>
      </c>
      <c r="O20" s="38">
        <f>SUM(D20:M20)</f>
        <v>0</v>
      </c>
    </row>
    <row r="21" spans="1:15" ht="15.75" customHeight="1" outlineLevel="1">
      <c r="A21" s="48" t="s">
        <v>26</v>
      </c>
      <c r="B21" s="40"/>
      <c r="C21" s="40">
        <f>-VLOOKUP($A$21,'ZH02'!$B:$N,4,0)</f>
        <v>0</v>
      </c>
      <c r="D21" s="40">
        <f>-VLOOKUP($A$21,'ZH02'!$B:$N,4,0)</f>
        <v>0</v>
      </c>
      <c r="E21" s="40">
        <f>-VLOOKUP($A$21,'ZH02'!$B:$N,4,0)</f>
        <v>0</v>
      </c>
      <c r="F21" s="40">
        <f>-VLOOKUP($A$21,'ZH02'!$B:$N,4,0)</f>
        <v>0</v>
      </c>
      <c r="G21" s="40">
        <f>-VLOOKUP($A$21,'ZH02'!$B:$N,4,0)</f>
        <v>0</v>
      </c>
      <c r="H21" s="40"/>
      <c r="I21" s="40"/>
      <c r="J21" s="40"/>
      <c r="K21" s="40"/>
      <c r="L21" s="40"/>
      <c r="M21" s="40"/>
      <c r="N21" s="40"/>
      <c r="O21" s="38"/>
    </row>
    <row r="22" spans="1:15" ht="15.75" customHeight="1">
      <c r="A22" s="34" t="s">
        <v>50</v>
      </c>
      <c r="B22" s="46">
        <f t="shared" ref="B22:N22" si="7">SUM(B23:B24)</f>
        <v>0</v>
      </c>
      <c r="C22" s="46">
        <f t="shared" si="7"/>
        <v>0</v>
      </c>
      <c r="D22" s="46">
        <f t="shared" si="7"/>
        <v>0</v>
      </c>
      <c r="E22" s="46">
        <f t="shared" si="7"/>
        <v>-3100</v>
      </c>
      <c r="F22" s="46">
        <f t="shared" si="7"/>
        <v>-3381</v>
      </c>
      <c r="G22" s="46">
        <f t="shared" si="7"/>
        <v>-4000</v>
      </c>
      <c r="H22" s="46">
        <f t="shared" si="7"/>
        <v>-4000</v>
      </c>
      <c r="I22" s="46">
        <f t="shared" si="7"/>
        <v>-4000</v>
      </c>
      <c r="J22" s="46">
        <f t="shared" si="7"/>
        <v>-4000</v>
      </c>
      <c r="K22" s="46">
        <f t="shared" si="7"/>
        <v>-4000</v>
      </c>
      <c r="L22" s="46">
        <f t="shared" si="7"/>
        <v>-4000</v>
      </c>
      <c r="M22" s="47">
        <f t="shared" si="7"/>
        <v>-4000</v>
      </c>
      <c r="N22" s="47">
        <f t="shared" si="7"/>
        <v>0</v>
      </c>
      <c r="O22" s="38">
        <f>SUM(D22:N22)</f>
        <v>-34481</v>
      </c>
    </row>
    <row r="23" spans="1:15" ht="15.75" customHeight="1" outlineLevel="1">
      <c r="A23" s="48" t="s">
        <v>65</v>
      </c>
      <c r="B23" s="38"/>
      <c r="C23" s="38"/>
      <c r="D23" s="38"/>
      <c r="E23" s="38">
        <v>-3100</v>
      </c>
      <c r="F23" s="38">
        <v>-3381</v>
      </c>
      <c r="G23" s="38">
        <v>-4000</v>
      </c>
      <c r="H23" s="38">
        <v>-4000</v>
      </c>
      <c r="I23" s="38">
        <v>-4000</v>
      </c>
      <c r="J23" s="38">
        <v>-4000</v>
      </c>
      <c r="K23" s="38">
        <v>-4000</v>
      </c>
      <c r="L23" s="38">
        <v>-4000</v>
      </c>
      <c r="M23" s="38">
        <v>-4000</v>
      </c>
      <c r="N23" s="38"/>
      <c r="O23" s="38"/>
    </row>
    <row r="24" spans="1:15" ht="15.75" customHeight="1" outlineLevel="1">
      <c r="A24" s="49" t="s">
        <v>66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5.75" customHeight="1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5.75" customHeight="1">
      <c r="B26" s="38"/>
      <c r="C26" s="38"/>
      <c r="D26" s="38"/>
      <c r="E26" s="38"/>
      <c r="F26" s="38"/>
      <c r="G26" s="38"/>
      <c r="H26" s="38"/>
      <c r="J26" s="38"/>
      <c r="K26" s="38"/>
      <c r="L26" s="38"/>
      <c r="M26" s="38"/>
      <c r="N26" s="38"/>
      <c r="O26" s="38"/>
    </row>
    <row r="27" spans="1:15" ht="15.75" customHeight="1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15.75" customHeight="1">
      <c r="F28" s="197"/>
      <c r="H28" s="197"/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23096F-DE2E-F540-A907-7C1B9C0BC20A}">
          <x14:formula1>
            <xm:f>'ZH02'!$B$4:$B$75</xm:f>
          </x14:formula1>
          <xm:sqref>A21 A16:A19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AA34-0570-0647-AE6B-D5719BF7279D}">
  <dimension ref="A1:AJ850"/>
  <sheetViews>
    <sheetView zoomScale="132" zoomScaleNormal="180" workbookViewId="0">
      <selection activeCell="I25" sqref="I25"/>
    </sheetView>
  </sheetViews>
  <sheetFormatPr defaultColWidth="14.5" defaultRowHeight="15.75" outlineLevelRow="1"/>
  <cols>
    <col min="1" max="1" width="30" customWidth="1"/>
    <col min="2" max="14" width="12.875" customWidth="1"/>
    <col min="17" max="37" width="10.5" customWidth="1"/>
  </cols>
  <sheetData>
    <row r="1" spans="1:36" ht="18.75">
      <c r="A1" s="8" t="s">
        <v>42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10" t="s">
        <v>43</v>
      </c>
    </row>
    <row r="2" spans="1:36">
      <c r="A2" s="11" t="s">
        <v>62</v>
      </c>
      <c r="B2" s="12"/>
      <c r="C2" s="12"/>
      <c r="D2" s="12"/>
      <c r="E2" s="12"/>
      <c r="F2" s="12">
        <v>50400</v>
      </c>
      <c r="G2" s="12">
        <v>50400</v>
      </c>
      <c r="H2" s="12">
        <v>50400</v>
      </c>
      <c r="I2" s="12">
        <v>50400</v>
      </c>
      <c r="J2" s="12">
        <v>50400</v>
      </c>
      <c r="K2" s="12">
        <v>50400</v>
      </c>
      <c r="L2" s="12">
        <v>50400</v>
      </c>
      <c r="M2" s="12">
        <v>50400</v>
      </c>
      <c r="N2" s="12"/>
      <c r="O2" s="12">
        <f>SUM(B2:M2)</f>
        <v>403200</v>
      </c>
    </row>
    <row r="3" spans="1:36" ht="16.5" customHeight="1">
      <c r="A3" s="13" t="s">
        <v>313</v>
      </c>
      <c r="B3" s="14">
        <f>B2*(1-B5)</f>
        <v>0</v>
      </c>
      <c r="C3" s="14">
        <f t="shared" ref="C3:M3" si="0">SUM(C2:C2)*(1-C5)</f>
        <v>0</v>
      </c>
      <c r="D3" s="14">
        <f t="shared" si="0"/>
        <v>0</v>
      </c>
      <c r="E3" s="14">
        <f t="shared" si="0"/>
        <v>0</v>
      </c>
      <c r="F3" s="14">
        <f t="shared" si="0"/>
        <v>47376</v>
      </c>
      <c r="G3" s="14">
        <f t="shared" si="0"/>
        <v>46368</v>
      </c>
      <c r="H3" s="14">
        <f t="shared" si="0"/>
        <v>41328</v>
      </c>
      <c r="I3" s="14">
        <f t="shared" si="0"/>
        <v>41328</v>
      </c>
      <c r="J3" s="14">
        <f t="shared" si="0"/>
        <v>41328</v>
      </c>
      <c r="K3" s="14">
        <f t="shared" si="0"/>
        <v>41328</v>
      </c>
      <c r="L3" s="14">
        <f t="shared" si="0"/>
        <v>41328</v>
      </c>
      <c r="M3" s="14">
        <f t="shared" si="0"/>
        <v>41328</v>
      </c>
      <c r="N3" s="14"/>
      <c r="O3" s="12">
        <f>SUM(B3:M3)</f>
        <v>341712</v>
      </c>
    </row>
    <row r="4" spans="1:36" ht="9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6.5" customHeight="1">
      <c r="A5" s="18" t="s">
        <v>45</v>
      </c>
      <c r="B5" s="19">
        <v>0.06</v>
      </c>
      <c r="C5" s="19">
        <v>0.06</v>
      </c>
      <c r="D5" s="19">
        <v>0.06</v>
      </c>
      <c r="E5" s="19">
        <v>0.06</v>
      </c>
      <c r="F5" s="19">
        <v>0.06</v>
      </c>
      <c r="G5" s="19">
        <v>0.08</v>
      </c>
      <c r="H5" s="19">
        <v>0.18</v>
      </c>
      <c r="I5" s="19">
        <v>0.18</v>
      </c>
      <c r="J5" s="19">
        <v>0.18</v>
      </c>
      <c r="K5" s="19">
        <v>0.18</v>
      </c>
      <c r="L5" s="19">
        <v>0.18</v>
      </c>
      <c r="M5" s="19">
        <v>0.18</v>
      </c>
      <c r="N5" s="19">
        <v>0.18</v>
      </c>
      <c r="O5" s="20"/>
      <c r="P5" s="21"/>
    </row>
    <row r="6" spans="1:36" ht="9" customHeight="1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36" ht="16.5" customHeight="1">
      <c r="A7" s="18" t="s">
        <v>46</v>
      </c>
      <c r="B7" s="9">
        <v>44927</v>
      </c>
      <c r="C7" s="9">
        <v>44958</v>
      </c>
      <c r="D7" s="9">
        <v>44986</v>
      </c>
      <c r="E7" s="9">
        <v>45017</v>
      </c>
      <c r="F7" s="9">
        <v>45047</v>
      </c>
      <c r="G7" s="9">
        <v>45078</v>
      </c>
      <c r="H7" s="9">
        <v>45108</v>
      </c>
      <c r="I7" s="9">
        <v>45139</v>
      </c>
      <c r="J7" s="9">
        <v>45170</v>
      </c>
      <c r="K7" s="9">
        <v>45200</v>
      </c>
      <c r="L7" s="9">
        <v>45231</v>
      </c>
      <c r="M7" s="9">
        <v>45261</v>
      </c>
      <c r="N7" s="9">
        <v>45292</v>
      </c>
      <c r="O7" s="10" t="s">
        <v>43</v>
      </c>
    </row>
    <row r="8" spans="1:36" ht="16.5" customHeight="1">
      <c r="A8" s="23" t="s">
        <v>314</v>
      </c>
      <c r="B8" s="24">
        <f>B14</f>
        <v>0</v>
      </c>
      <c r="C8" s="24">
        <f>C14</f>
        <v>0</v>
      </c>
      <c r="D8" s="24">
        <f>D14</f>
        <v>0</v>
      </c>
      <c r="E8" s="24">
        <f t="shared" ref="E8:M8" si="1">E14</f>
        <v>0</v>
      </c>
      <c r="F8" s="24">
        <f t="shared" si="1"/>
        <v>0</v>
      </c>
      <c r="G8" s="24">
        <f t="shared" si="1"/>
        <v>-15000</v>
      </c>
      <c r="H8" s="24">
        <f t="shared" si="1"/>
        <v>-16000</v>
      </c>
      <c r="I8" s="24">
        <f t="shared" si="1"/>
        <v>-15000</v>
      </c>
      <c r="J8" s="24">
        <f t="shared" si="1"/>
        <v>-15000</v>
      </c>
      <c r="K8" s="24">
        <f t="shared" si="1"/>
        <v>-15000</v>
      </c>
      <c r="L8" s="24">
        <f t="shared" si="1"/>
        <v>-15000</v>
      </c>
      <c r="M8" s="24">
        <f t="shared" si="1"/>
        <v>-15000</v>
      </c>
      <c r="N8" s="24">
        <f>N14</f>
        <v>0</v>
      </c>
      <c r="O8" s="25">
        <f>SUM(D8:N8)</f>
        <v>-106000</v>
      </c>
      <c r="T8" s="50" t="s">
        <v>26</v>
      </c>
      <c r="U8" s="36">
        <v>176</v>
      </c>
      <c r="W8">
        <f>V8*U8</f>
        <v>0</v>
      </c>
    </row>
    <row r="9" spans="1:36" ht="16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T9" s="44" t="s">
        <v>11</v>
      </c>
      <c r="U9" s="36">
        <v>120</v>
      </c>
      <c r="W9">
        <f>V9*U9</f>
        <v>0</v>
      </c>
    </row>
    <row r="10" spans="1:36" ht="16.5" customHeight="1">
      <c r="A10" s="27" t="s">
        <v>47</v>
      </c>
      <c r="B10" s="9">
        <v>44927</v>
      </c>
      <c r="C10" s="9">
        <v>44958</v>
      </c>
      <c r="D10" s="9">
        <v>44986</v>
      </c>
      <c r="E10" s="9">
        <v>45017</v>
      </c>
      <c r="F10" s="9">
        <v>45047</v>
      </c>
      <c r="G10" s="9">
        <v>45078</v>
      </c>
      <c r="H10" s="9">
        <v>45108</v>
      </c>
      <c r="I10" s="9">
        <v>45139</v>
      </c>
      <c r="J10" s="9">
        <v>45170</v>
      </c>
      <c r="K10" s="9">
        <v>45200</v>
      </c>
      <c r="L10" s="9">
        <v>45231</v>
      </c>
      <c r="M10" s="9">
        <v>45261</v>
      </c>
      <c r="N10" s="9">
        <v>45292</v>
      </c>
      <c r="O10" s="10" t="s">
        <v>43</v>
      </c>
      <c r="T10" s="51" t="s">
        <v>21</v>
      </c>
      <c r="U10" s="36">
        <v>120</v>
      </c>
      <c r="V10">
        <v>168</v>
      </c>
      <c r="W10">
        <f>V10*U10</f>
        <v>20160</v>
      </c>
    </row>
    <row r="11" spans="1:36" ht="16.5" customHeight="1">
      <c r="A11" s="28" t="s">
        <v>315</v>
      </c>
      <c r="B11" s="29">
        <f>B3+B8</f>
        <v>0</v>
      </c>
      <c r="C11" s="29">
        <f t="shared" ref="C11:M11" si="2">C3+C8</f>
        <v>0</v>
      </c>
      <c r="D11" s="29">
        <f t="shared" si="2"/>
        <v>0</v>
      </c>
      <c r="E11" s="29">
        <f t="shared" si="2"/>
        <v>0</v>
      </c>
      <c r="F11" s="29">
        <f t="shared" si="2"/>
        <v>47376</v>
      </c>
      <c r="G11" s="29">
        <f t="shared" si="2"/>
        <v>31368</v>
      </c>
      <c r="H11" s="29">
        <f t="shared" si="2"/>
        <v>25328</v>
      </c>
      <c r="I11" s="29">
        <f t="shared" si="2"/>
        <v>26328</v>
      </c>
      <c r="J11" s="29">
        <f t="shared" si="2"/>
        <v>26328</v>
      </c>
      <c r="K11" s="29">
        <f t="shared" si="2"/>
        <v>26328</v>
      </c>
      <c r="L11" s="29">
        <f t="shared" si="2"/>
        <v>26328</v>
      </c>
      <c r="M11" s="29">
        <f t="shared" si="2"/>
        <v>26328</v>
      </c>
      <c r="N11" s="29">
        <f>N3+N8</f>
        <v>0</v>
      </c>
      <c r="O11" s="30">
        <f>SUM(D11:N11)</f>
        <v>235712</v>
      </c>
      <c r="T11" s="51" t="s">
        <v>61</v>
      </c>
      <c r="U11" s="36">
        <v>110.4</v>
      </c>
      <c r="V11">
        <v>168</v>
      </c>
      <c r="W11">
        <f>V11*U11</f>
        <v>18547.2</v>
      </c>
    </row>
    <row r="12" spans="1:36" ht="16.5" customHeight="1">
      <c r="A12" s="26"/>
      <c r="B12" s="43" t="e">
        <f>B11/B3</f>
        <v>#DIV/0!</v>
      </c>
      <c r="C12" s="43" t="e">
        <f t="shared" ref="C12:O12" si="3">C11/C3</f>
        <v>#DIV/0!</v>
      </c>
      <c r="D12" s="43" t="e">
        <f t="shared" si="3"/>
        <v>#DIV/0!</v>
      </c>
      <c r="E12" s="43" t="e">
        <f t="shared" si="3"/>
        <v>#DIV/0!</v>
      </c>
      <c r="F12" s="43">
        <f t="shared" si="3"/>
        <v>1</v>
      </c>
      <c r="G12" s="43">
        <f t="shared" si="3"/>
        <v>0.67650103519668736</v>
      </c>
      <c r="H12" s="43">
        <f t="shared" si="3"/>
        <v>0.61285327138985679</v>
      </c>
      <c r="I12" s="43">
        <f t="shared" si="3"/>
        <v>0.63704994192799069</v>
      </c>
      <c r="J12" s="43">
        <f t="shared" si="3"/>
        <v>0.63704994192799069</v>
      </c>
      <c r="K12" s="43">
        <f t="shared" si="3"/>
        <v>0.63704994192799069</v>
      </c>
      <c r="L12" s="43">
        <f t="shared" si="3"/>
        <v>0.63704994192799069</v>
      </c>
      <c r="M12" s="43">
        <f t="shared" si="3"/>
        <v>0.63704994192799069</v>
      </c>
      <c r="N12" s="43" t="e">
        <f t="shared" si="3"/>
        <v>#DIV/0!</v>
      </c>
      <c r="O12" s="43">
        <f t="shared" si="3"/>
        <v>0.68979725616893761</v>
      </c>
      <c r="V12">
        <v>168</v>
      </c>
      <c r="W12">
        <f>V12*U12</f>
        <v>0</v>
      </c>
    </row>
    <row r="13" spans="1:36" ht="21" customHeight="1">
      <c r="A13" s="26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W13">
        <f>SUM(W8:W12)</f>
        <v>38707.199999999997</v>
      </c>
    </row>
    <row r="14" spans="1:36" ht="15.75" customHeight="1">
      <c r="A14" s="18" t="str">
        <f>A8</f>
        <v xml:space="preserve">Captar </v>
      </c>
      <c r="B14" s="37">
        <f t="shared" ref="B14:O14" si="4">B15+B19+B21</f>
        <v>0</v>
      </c>
      <c r="C14" s="37">
        <f t="shared" si="4"/>
        <v>0</v>
      </c>
      <c r="D14" s="37">
        <f t="shared" si="4"/>
        <v>0</v>
      </c>
      <c r="E14" s="37">
        <f t="shared" si="4"/>
        <v>0</v>
      </c>
      <c r="F14" s="37">
        <f t="shared" si="4"/>
        <v>0</v>
      </c>
      <c r="G14" s="37">
        <f t="shared" si="4"/>
        <v>-15000</v>
      </c>
      <c r="H14" s="37">
        <f t="shared" si="4"/>
        <v>-16000</v>
      </c>
      <c r="I14" s="37">
        <f t="shared" si="4"/>
        <v>-15000</v>
      </c>
      <c r="J14" s="37">
        <f t="shared" si="4"/>
        <v>-15000</v>
      </c>
      <c r="K14" s="37">
        <f t="shared" si="4"/>
        <v>-15000</v>
      </c>
      <c r="L14" s="37">
        <f t="shared" si="4"/>
        <v>-15000</v>
      </c>
      <c r="M14" s="37">
        <f t="shared" si="4"/>
        <v>-15000</v>
      </c>
      <c r="N14" s="37">
        <f t="shared" si="4"/>
        <v>0</v>
      </c>
      <c r="O14" s="37">
        <f t="shared" si="4"/>
        <v>-106000</v>
      </c>
    </row>
    <row r="15" spans="1:36" ht="15.75" customHeight="1">
      <c r="A15" s="34" t="s">
        <v>48</v>
      </c>
      <c r="B15" s="45">
        <f t="shared" ref="B15:N15" si="5">SUM(B16:B18)</f>
        <v>0</v>
      </c>
      <c r="C15" s="46">
        <f t="shared" si="5"/>
        <v>0</v>
      </c>
      <c r="D15" s="46">
        <f t="shared" si="5"/>
        <v>0</v>
      </c>
      <c r="E15" s="46">
        <f t="shared" si="5"/>
        <v>0</v>
      </c>
      <c r="F15" s="46">
        <f t="shared" si="5"/>
        <v>0</v>
      </c>
      <c r="G15" s="46">
        <f t="shared" si="5"/>
        <v>-15000</v>
      </c>
      <c r="H15" s="46">
        <f t="shared" si="5"/>
        <v>-15000</v>
      </c>
      <c r="I15" s="46">
        <f t="shared" si="5"/>
        <v>-15000</v>
      </c>
      <c r="J15" s="46">
        <f t="shared" si="5"/>
        <v>-15000</v>
      </c>
      <c r="K15" s="46">
        <f t="shared" si="5"/>
        <v>-15000</v>
      </c>
      <c r="L15" s="46">
        <f t="shared" si="5"/>
        <v>-15000</v>
      </c>
      <c r="M15" s="47">
        <f t="shared" si="5"/>
        <v>-15000</v>
      </c>
      <c r="N15" s="47">
        <f t="shared" si="5"/>
        <v>0</v>
      </c>
      <c r="O15" s="38">
        <f>SUM(D15:N15)</f>
        <v>-105000</v>
      </c>
    </row>
    <row r="16" spans="1:36" ht="15.75" customHeight="1" outlineLevel="1">
      <c r="A16" s="48" t="s">
        <v>231</v>
      </c>
      <c r="B16" s="40"/>
      <c r="C16" s="40"/>
      <c r="D16" s="40"/>
      <c r="E16" s="40"/>
      <c r="F16" s="40"/>
      <c r="G16" s="40">
        <f>-VLOOKUP($A$16,'ZH02'!$B:$N,4,0)</f>
        <v>-15000</v>
      </c>
      <c r="H16" s="40">
        <f>-VLOOKUP($A$16,'ZH02'!$B:$N,4,0)</f>
        <v>-15000</v>
      </c>
      <c r="I16" s="40">
        <f>-VLOOKUP($A$16,'ZH02'!$B:$N,4,0)</f>
        <v>-15000</v>
      </c>
      <c r="J16" s="40">
        <f>-VLOOKUP($A$16,'ZH02'!$B:$N,4,0)</f>
        <v>-15000</v>
      </c>
      <c r="K16" s="40">
        <f>-VLOOKUP($A$16,'ZH02'!$B:$N,4,0)</f>
        <v>-15000</v>
      </c>
      <c r="L16" s="40">
        <f>-VLOOKUP($A$16,'ZH02'!$B:$N,4,0)</f>
        <v>-15000</v>
      </c>
      <c r="M16" s="40">
        <f>-VLOOKUP($A$16,'ZH02'!$B:$N,4,0)</f>
        <v>-15000</v>
      </c>
      <c r="N16" s="40"/>
      <c r="O16" s="38"/>
    </row>
    <row r="17" spans="1:15" ht="15.75" customHeight="1" outlineLevel="1">
      <c r="A17" s="48" t="s">
        <v>26</v>
      </c>
      <c r="B17" s="40"/>
      <c r="C17" s="40"/>
      <c r="D17" s="40"/>
      <c r="E17" s="40"/>
      <c r="F17" s="40"/>
      <c r="G17" s="40"/>
      <c r="H17" s="40">
        <f>-VLOOKUP($A$17,'ZH02'!$B:$N,4,0)</f>
        <v>0</v>
      </c>
      <c r="I17" s="40">
        <f>-VLOOKUP($A$17,'ZH02'!$B:$N,4,0)</f>
        <v>0</v>
      </c>
      <c r="J17" s="40">
        <f>-VLOOKUP($A$17,'ZH02'!$B:$N,4,0)</f>
        <v>0</v>
      </c>
      <c r="K17" s="40">
        <f>-VLOOKUP($A$17,'ZH02'!$B:$N,4,0)</f>
        <v>0</v>
      </c>
      <c r="L17" s="40">
        <f>-VLOOKUP($A$17,'ZH02'!$B:$N,4,0)</f>
        <v>0</v>
      </c>
      <c r="M17" s="40">
        <f>-VLOOKUP($A$17,'ZH02'!$B:$N,4,0)</f>
        <v>0</v>
      </c>
      <c r="N17" s="40">
        <f>-VLOOKUP($A$17,'ZH02'!$B:$N,4,0)</f>
        <v>0</v>
      </c>
      <c r="O17" s="38"/>
    </row>
    <row r="18" spans="1:15" ht="15.75" customHeight="1" outlineLevel="1">
      <c r="A18" s="48" t="s">
        <v>26</v>
      </c>
      <c r="B18" s="40"/>
      <c r="C18" s="40"/>
      <c r="D18" s="40"/>
      <c r="E18" s="40"/>
      <c r="F18" s="40">
        <f>-VLOOKUP($A$18,'ZH02'!$B:$N,4,0)</f>
        <v>0</v>
      </c>
      <c r="G18" s="40">
        <f>-VLOOKUP($A$18,'ZH02'!$B:$N,4,0)</f>
        <v>0</v>
      </c>
      <c r="H18" s="40">
        <f>-VLOOKUP($A$18,'ZH02'!$B:$N,4,0)</f>
        <v>0</v>
      </c>
      <c r="I18" s="40">
        <f>-VLOOKUP($A$18,'ZH02'!$B:$N,4,0)</f>
        <v>0</v>
      </c>
      <c r="J18" s="40">
        <f>-VLOOKUP($A$18,'ZH02'!$B:$N,4,0)</f>
        <v>0</v>
      </c>
      <c r="K18" s="40">
        <f>-VLOOKUP($A$18,'ZH02'!$B:$N,4,0)</f>
        <v>0</v>
      </c>
      <c r="L18" s="40">
        <f>-VLOOKUP($A$18,'ZH02'!$B:$N,4,0)</f>
        <v>0</v>
      </c>
      <c r="M18" s="40">
        <f>-VLOOKUP($A$18,'ZH02'!$B:$N,4,0)</f>
        <v>0</v>
      </c>
      <c r="N18" s="40">
        <f>-VLOOKUP($A$18,'ZH02'!$B:$N,4,0)</f>
        <v>0</v>
      </c>
      <c r="O18" s="38"/>
    </row>
    <row r="19" spans="1:15" ht="15.75" customHeight="1">
      <c r="A19" s="34" t="s">
        <v>49</v>
      </c>
      <c r="B19" s="46">
        <f>SUM(B20)</f>
        <v>0</v>
      </c>
      <c r="C19" s="46">
        <f t="shared" ref="C19:N19" si="6">SUM(C20)</f>
        <v>0</v>
      </c>
      <c r="D19" s="46">
        <f t="shared" si="6"/>
        <v>0</v>
      </c>
      <c r="E19" s="46">
        <f t="shared" si="6"/>
        <v>0</v>
      </c>
      <c r="F19" s="46">
        <f t="shared" si="6"/>
        <v>0</v>
      </c>
      <c r="G19" s="46">
        <f t="shared" si="6"/>
        <v>0</v>
      </c>
      <c r="H19" s="46">
        <f t="shared" si="6"/>
        <v>0</v>
      </c>
      <c r="I19" s="46">
        <f t="shared" si="6"/>
        <v>0</v>
      </c>
      <c r="J19" s="46">
        <f t="shared" si="6"/>
        <v>0</v>
      </c>
      <c r="K19" s="46">
        <f t="shared" si="6"/>
        <v>0</v>
      </c>
      <c r="L19" s="46">
        <f t="shared" si="6"/>
        <v>0</v>
      </c>
      <c r="M19" s="47">
        <f t="shared" si="6"/>
        <v>0</v>
      </c>
      <c r="N19" s="47">
        <f t="shared" si="6"/>
        <v>0</v>
      </c>
      <c r="O19" s="38">
        <f>SUM(D19:M19)</f>
        <v>0</v>
      </c>
    </row>
    <row r="20" spans="1:15" ht="15.75" customHeight="1" outlineLevel="1">
      <c r="A20" s="48" t="s">
        <v>26</v>
      </c>
      <c r="B20" s="40"/>
      <c r="C20" s="40">
        <f>-VLOOKUP($A$20,'ZH02'!$B:$N,4,0)</f>
        <v>0</v>
      </c>
      <c r="D20" s="40">
        <f>-VLOOKUP($A$20,'ZH02'!$B:$N,4,0)</f>
        <v>0</v>
      </c>
      <c r="E20" s="40">
        <f>-VLOOKUP($A$20,'ZH02'!$B:$N,4,0)</f>
        <v>0</v>
      </c>
      <c r="F20" s="40">
        <f>-VLOOKUP($A$20,'ZH02'!$B:$N,4,0)</f>
        <v>0</v>
      </c>
      <c r="G20" s="40">
        <f>-VLOOKUP($A$20,'ZH02'!$B:$N,4,0)</f>
        <v>0</v>
      </c>
      <c r="H20" s="40"/>
      <c r="I20" s="40"/>
      <c r="J20" s="40"/>
      <c r="K20" s="40"/>
      <c r="L20" s="40"/>
      <c r="M20" s="40"/>
      <c r="N20" s="40"/>
      <c r="O20" s="38"/>
    </row>
    <row r="21" spans="1:15" ht="15.75" customHeight="1">
      <c r="A21" s="34" t="s">
        <v>50</v>
      </c>
      <c r="B21" s="46">
        <f t="shared" ref="B21:N21" si="7">SUM(B22:B23)</f>
        <v>0</v>
      </c>
      <c r="C21" s="46">
        <f t="shared" si="7"/>
        <v>0</v>
      </c>
      <c r="D21" s="46">
        <f t="shared" si="7"/>
        <v>0</v>
      </c>
      <c r="E21" s="46">
        <f t="shared" si="7"/>
        <v>0</v>
      </c>
      <c r="F21" s="46">
        <f t="shared" si="7"/>
        <v>0</v>
      </c>
      <c r="G21" s="46">
        <f t="shared" si="7"/>
        <v>0</v>
      </c>
      <c r="H21" s="46">
        <f t="shared" si="7"/>
        <v>-1000</v>
      </c>
      <c r="I21" s="46">
        <f t="shared" si="7"/>
        <v>0</v>
      </c>
      <c r="J21" s="46">
        <f t="shared" si="7"/>
        <v>0</v>
      </c>
      <c r="K21" s="46">
        <f t="shared" si="7"/>
        <v>0</v>
      </c>
      <c r="L21" s="46">
        <f t="shared" si="7"/>
        <v>0</v>
      </c>
      <c r="M21" s="47">
        <f t="shared" si="7"/>
        <v>0</v>
      </c>
      <c r="N21" s="47">
        <f t="shared" si="7"/>
        <v>0</v>
      </c>
      <c r="O21" s="38">
        <f>SUM(D21:N21)</f>
        <v>-1000</v>
      </c>
    </row>
    <row r="22" spans="1:15" ht="15.75" customHeight="1" outlineLevel="1">
      <c r="A22" s="48" t="s">
        <v>273</v>
      </c>
      <c r="B22" s="38"/>
      <c r="C22" s="38"/>
      <c r="D22" s="38"/>
      <c r="E22" s="38"/>
      <c r="F22" s="38"/>
      <c r="G22" s="38"/>
      <c r="H22" s="38">
        <v>-1000</v>
      </c>
      <c r="I22" s="38"/>
      <c r="J22" s="38"/>
      <c r="K22" s="38"/>
      <c r="L22" s="38"/>
      <c r="M22" s="38"/>
      <c r="N22" s="38"/>
      <c r="O22" s="38"/>
    </row>
    <row r="23" spans="1:15" ht="15.75" customHeight="1" outlineLevel="1">
      <c r="A23" s="49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ht="15.75" customHeight="1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5.75" customHeight="1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5.7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15.75" customHeight="1">
      <c r="F27" s="197"/>
    </row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370F43-CC89-284B-9DA4-E5AFF8843126}">
          <x14:formula1>
            <xm:f>'ZH02'!$B$4:$B$75</xm:f>
          </x14:formula1>
          <xm:sqref>A20 A16:A18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D0C5-FDE2-544F-8FAA-0F4711D95A68}">
  <dimension ref="A1:AG841"/>
  <sheetViews>
    <sheetView topLeftCell="A22" zoomScale="120" zoomScaleNormal="120" workbookViewId="0">
      <selection activeCell="D45" sqref="D45"/>
    </sheetView>
  </sheetViews>
  <sheetFormatPr defaultColWidth="11" defaultRowHeight="15.75"/>
  <cols>
    <col min="1" max="1" width="26.625" bestFit="1" customWidth="1"/>
    <col min="12" max="12" width="11.125" bestFit="1" customWidth="1"/>
  </cols>
  <sheetData>
    <row r="1" spans="1:33" ht="18.75">
      <c r="A1" s="52" t="s">
        <v>42</v>
      </c>
      <c r="B1" s="54">
        <v>44986</v>
      </c>
      <c r="C1" s="55">
        <v>45017</v>
      </c>
      <c r="D1" s="55">
        <v>45047</v>
      </c>
      <c r="E1" s="55">
        <v>45078</v>
      </c>
      <c r="F1" s="55">
        <v>45108</v>
      </c>
      <c r="G1" s="55">
        <v>45139</v>
      </c>
      <c r="H1" s="55">
        <v>45170</v>
      </c>
      <c r="I1" s="55">
        <v>45200</v>
      </c>
      <c r="J1" s="55">
        <v>45231</v>
      </c>
      <c r="K1" s="55">
        <v>45261</v>
      </c>
      <c r="L1" s="56" t="s">
        <v>43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2" spans="1:33">
      <c r="A2" s="58" t="s">
        <v>44</v>
      </c>
      <c r="B2" s="59">
        <f>SUM(B3:B8)</f>
        <v>0</v>
      </c>
      <c r="C2" s="59">
        <f t="shared" ref="C2:K2" si="0">SUM(C3:C8)</f>
        <v>8100</v>
      </c>
      <c r="D2" s="59">
        <f t="shared" si="0"/>
        <v>30900</v>
      </c>
      <c r="E2" s="59">
        <f t="shared" si="0"/>
        <v>2500</v>
      </c>
      <c r="F2" s="59">
        <f t="shared" si="0"/>
        <v>2500</v>
      </c>
      <c r="G2" s="59">
        <f t="shared" si="0"/>
        <v>0</v>
      </c>
      <c r="H2" s="59">
        <f t="shared" si="0"/>
        <v>0</v>
      </c>
      <c r="I2" s="59">
        <f t="shared" si="0"/>
        <v>0</v>
      </c>
      <c r="J2" s="59">
        <f t="shared" si="0"/>
        <v>0</v>
      </c>
      <c r="K2" s="59">
        <f t="shared" si="0"/>
        <v>0</v>
      </c>
      <c r="L2" s="104">
        <f t="shared" ref="L2:L8" si="1">SUM(B2:K2)</f>
        <v>44000</v>
      </c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33">
      <c r="A3" s="60" t="s">
        <v>69</v>
      </c>
      <c r="B3" s="61" t="s">
        <v>67</v>
      </c>
      <c r="C3" s="61">
        <v>5600</v>
      </c>
      <c r="D3" s="61">
        <v>8400</v>
      </c>
      <c r="E3" s="61"/>
      <c r="F3" s="61">
        <v>0</v>
      </c>
      <c r="G3" s="61">
        <v>0</v>
      </c>
      <c r="H3" s="61">
        <v>0</v>
      </c>
      <c r="I3" s="61">
        <v>0</v>
      </c>
      <c r="J3" s="61">
        <v>0</v>
      </c>
      <c r="K3" s="61">
        <v>0</v>
      </c>
      <c r="L3" s="104">
        <f t="shared" si="1"/>
        <v>14000</v>
      </c>
      <c r="M3" s="57"/>
      <c r="N3" s="57"/>
      <c r="O3" s="57">
        <v>5600</v>
      </c>
      <c r="P3" s="57">
        <f t="shared" ref="P3:P4" si="2">O3*6%</f>
        <v>336</v>
      </c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</row>
    <row r="4" spans="1:33">
      <c r="A4" s="60" t="s">
        <v>70</v>
      </c>
      <c r="B4" s="61" t="s">
        <v>67</v>
      </c>
      <c r="C4" s="61"/>
      <c r="D4" s="61">
        <v>20000</v>
      </c>
      <c r="E4" s="61">
        <v>0</v>
      </c>
      <c r="F4" s="61">
        <v>0</v>
      </c>
      <c r="G4" s="61">
        <v>0</v>
      </c>
      <c r="H4" s="61">
        <v>0</v>
      </c>
      <c r="I4" s="61">
        <v>0</v>
      </c>
      <c r="J4" s="61">
        <v>0</v>
      </c>
      <c r="K4" s="61">
        <v>0</v>
      </c>
      <c r="L4" s="104">
        <f t="shared" si="1"/>
        <v>20000</v>
      </c>
      <c r="M4" s="57"/>
      <c r="N4" s="57"/>
      <c r="O4" s="57">
        <v>2500</v>
      </c>
      <c r="P4" s="57">
        <f t="shared" si="2"/>
        <v>150</v>
      </c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</row>
    <row r="5" spans="1:33">
      <c r="A5" s="60" t="s">
        <v>71</v>
      </c>
      <c r="B5" s="61" t="s">
        <v>67</v>
      </c>
      <c r="C5" s="61">
        <v>2500</v>
      </c>
      <c r="D5" s="61">
        <v>2500</v>
      </c>
      <c r="E5" s="61">
        <v>2500</v>
      </c>
      <c r="F5" s="61">
        <v>2500</v>
      </c>
      <c r="G5" s="61"/>
      <c r="H5" s="61">
        <v>0</v>
      </c>
      <c r="I5" s="61">
        <v>0</v>
      </c>
      <c r="J5" s="61">
        <v>0</v>
      </c>
      <c r="K5" s="61">
        <v>0</v>
      </c>
      <c r="L5" s="104">
        <f t="shared" si="1"/>
        <v>10000</v>
      </c>
      <c r="M5" s="57"/>
      <c r="N5" s="57"/>
      <c r="O5" s="57">
        <v>49606.400000000001</v>
      </c>
      <c r="P5" s="57">
        <f>O5*6%</f>
        <v>2976.384</v>
      </c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</row>
    <row r="6" spans="1:33">
      <c r="A6" s="63"/>
      <c r="B6" s="61" t="s">
        <v>67</v>
      </c>
      <c r="C6" s="61">
        <v>0</v>
      </c>
      <c r="D6" s="61">
        <v>0</v>
      </c>
      <c r="E6" s="61">
        <v>0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104">
        <f t="shared" si="1"/>
        <v>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</row>
    <row r="7" spans="1:33">
      <c r="A7" s="63"/>
      <c r="B7" s="61" t="s">
        <v>67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104">
        <f t="shared" si="1"/>
        <v>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</row>
    <row r="8" spans="1:33">
      <c r="A8" s="63"/>
      <c r="B8" s="61" t="s">
        <v>67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104">
        <f t="shared" si="1"/>
        <v>0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</row>
    <row r="9" spans="1:33">
      <c r="A9" s="63" t="s">
        <v>86</v>
      </c>
      <c r="B9" s="103">
        <f>B2*(1-B11)</f>
        <v>0</v>
      </c>
      <c r="C9" s="103">
        <f t="shared" ref="C9:K9" si="3">C2*(1-C11)</f>
        <v>7614</v>
      </c>
      <c r="D9" s="103">
        <f t="shared" si="3"/>
        <v>28428</v>
      </c>
      <c r="E9" s="103">
        <f t="shared" si="3"/>
        <v>2300</v>
      </c>
      <c r="F9" s="103">
        <f t="shared" si="3"/>
        <v>2300</v>
      </c>
      <c r="G9" s="103">
        <f t="shared" si="3"/>
        <v>0</v>
      </c>
      <c r="H9" s="103">
        <f t="shared" si="3"/>
        <v>0</v>
      </c>
      <c r="I9" s="103">
        <f t="shared" si="3"/>
        <v>0</v>
      </c>
      <c r="J9" s="103">
        <f t="shared" si="3"/>
        <v>0</v>
      </c>
      <c r="K9" s="103">
        <f t="shared" si="3"/>
        <v>0</v>
      </c>
      <c r="L9" s="104">
        <f>SUM(B9:K9)</f>
        <v>40642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</row>
    <row r="10" spans="1:3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6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</row>
    <row r="11" spans="1:33">
      <c r="A11" s="68" t="s">
        <v>45</v>
      </c>
      <c r="B11" s="69">
        <v>0.06</v>
      </c>
      <c r="C11" s="69">
        <v>0.06</v>
      </c>
      <c r="D11" s="69">
        <v>0.08</v>
      </c>
      <c r="E11" s="69">
        <v>0.08</v>
      </c>
      <c r="F11" s="69">
        <v>0.08</v>
      </c>
      <c r="G11" s="69">
        <v>0.06</v>
      </c>
      <c r="H11" s="69">
        <v>0.06</v>
      </c>
      <c r="I11" s="69">
        <v>0.06</v>
      </c>
      <c r="J11" s="69">
        <v>0.06</v>
      </c>
      <c r="K11" s="69">
        <v>0.06</v>
      </c>
      <c r="L11" s="70"/>
      <c r="M11" s="65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</row>
    <row r="12" spans="1:33">
      <c r="A12" s="62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65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</row>
    <row r="13" spans="1:33">
      <c r="A13" s="68" t="s">
        <v>46</v>
      </c>
      <c r="B13" s="54">
        <v>44986</v>
      </c>
      <c r="C13" s="55">
        <v>45017</v>
      </c>
      <c r="D13" s="55">
        <v>45047</v>
      </c>
      <c r="E13" s="55">
        <v>45078</v>
      </c>
      <c r="F13" s="55">
        <v>45108</v>
      </c>
      <c r="G13" s="55">
        <v>45139</v>
      </c>
      <c r="H13" s="55">
        <v>45170</v>
      </c>
      <c r="I13" s="55">
        <v>45200</v>
      </c>
      <c r="J13" s="55">
        <v>45231</v>
      </c>
      <c r="K13" s="55">
        <v>45261</v>
      </c>
      <c r="L13" s="56" t="s">
        <v>43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</row>
    <row r="14" spans="1:33">
      <c r="A14" s="71" t="s">
        <v>69</v>
      </c>
      <c r="B14" s="72" t="s">
        <v>67</v>
      </c>
      <c r="C14" s="72">
        <f>C34</f>
        <v>-1500</v>
      </c>
      <c r="D14" s="72">
        <f t="shared" ref="D14:K14" si="4">D34</f>
        <v>0</v>
      </c>
      <c r="E14" s="72">
        <f t="shared" si="4"/>
        <v>0</v>
      </c>
      <c r="F14" s="72">
        <f t="shared" si="4"/>
        <v>0</v>
      </c>
      <c r="G14" s="72">
        <f t="shared" si="4"/>
        <v>0</v>
      </c>
      <c r="H14" s="72">
        <f t="shared" si="4"/>
        <v>0</v>
      </c>
      <c r="I14" s="72">
        <f t="shared" si="4"/>
        <v>0</v>
      </c>
      <c r="J14" s="72">
        <f t="shared" si="4"/>
        <v>0</v>
      </c>
      <c r="K14" s="72">
        <f t="shared" si="4"/>
        <v>0</v>
      </c>
      <c r="L14" s="73">
        <f t="shared" ref="L14:L19" si="5">SUM(B14:K14)</f>
        <v>-1500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</row>
    <row r="15" spans="1:33">
      <c r="A15" s="71" t="s">
        <v>70</v>
      </c>
      <c r="B15" s="72" t="s">
        <v>67</v>
      </c>
      <c r="C15" s="72">
        <v>-1000</v>
      </c>
      <c r="D15" s="72">
        <f t="shared" ref="D15:K15" si="6">D39</f>
        <v>0</v>
      </c>
      <c r="E15" s="72">
        <f t="shared" si="6"/>
        <v>0</v>
      </c>
      <c r="F15" s="72">
        <f t="shared" si="6"/>
        <v>0</v>
      </c>
      <c r="G15" s="72">
        <f t="shared" si="6"/>
        <v>0</v>
      </c>
      <c r="H15" s="72">
        <f t="shared" si="6"/>
        <v>0</v>
      </c>
      <c r="I15" s="72">
        <f t="shared" si="6"/>
        <v>0</v>
      </c>
      <c r="J15" s="72">
        <f t="shared" si="6"/>
        <v>0</v>
      </c>
      <c r="K15" s="72">
        <f t="shared" si="6"/>
        <v>0</v>
      </c>
      <c r="L15" s="73">
        <f t="shared" si="5"/>
        <v>-1000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</row>
    <row r="16" spans="1:33">
      <c r="A16" s="71" t="s">
        <v>71</v>
      </c>
      <c r="B16" s="72" t="s">
        <v>67</v>
      </c>
      <c r="C16" s="72">
        <f>C44</f>
        <v>0</v>
      </c>
      <c r="D16" s="72">
        <f>D44</f>
        <v>-1000</v>
      </c>
      <c r="E16" s="72">
        <f t="shared" ref="E16:K16" si="7">E44</f>
        <v>-1200</v>
      </c>
      <c r="F16" s="72">
        <f t="shared" si="7"/>
        <v>-1200</v>
      </c>
      <c r="G16" s="72">
        <f t="shared" si="7"/>
        <v>0</v>
      </c>
      <c r="H16" s="72">
        <f t="shared" si="7"/>
        <v>0</v>
      </c>
      <c r="I16" s="72">
        <f t="shared" si="7"/>
        <v>0</v>
      </c>
      <c r="J16" s="72">
        <f t="shared" si="7"/>
        <v>0</v>
      </c>
      <c r="K16" s="72">
        <f t="shared" si="7"/>
        <v>0</v>
      </c>
      <c r="L16" s="73">
        <f t="shared" si="5"/>
        <v>-3400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</row>
    <row r="17" spans="1:33">
      <c r="A17" s="71">
        <v>0</v>
      </c>
      <c r="B17" s="72" t="s">
        <v>67</v>
      </c>
      <c r="C17" s="72">
        <f>C49</f>
        <v>0</v>
      </c>
      <c r="D17" s="72">
        <f t="shared" ref="D17:K17" si="8">D49</f>
        <v>0</v>
      </c>
      <c r="E17" s="72">
        <f t="shared" si="8"/>
        <v>0</v>
      </c>
      <c r="F17" s="72">
        <f t="shared" si="8"/>
        <v>0</v>
      </c>
      <c r="G17" s="72">
        <f t="shared" si="8"/>
        <v>0</v>
      </c>
      <c r="H17" s="72">
        <f t="shared" si="8"/>
        <v>0</v>
      </c>
      <c r="I17" s="72">
        <f t="shared" si="8"/>
        <v>0</v>
      </c>
      <c r="J17" s="72">
        <f t="shared" si="8"/>
        <v>0</v>
      </c>
      <c r="K17" s="72">
        <f t="shared" si="8"/>
        <v>0</v>
      </c>
      <c r="L17" s="73">
        <f t="shared" si="5"/>
        <v>0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</row>
    <row r="18" spans="1:33">
      <c r="A18" s="74">
        <v>0</v>
      </c>
      <c r="B18" s="72" t="s">
        <v>67</v>
      </c>
      <c r="C18" s="72">
        <f>C54</f>
        <v>0</v>
      </c>
      <c r="D18" s="72">
        <f t="shared" ref="D18:K18" si="9">D54</f>
        <v>0</v>
      </c>
      <c r="E18" s="72">
        <f t="shared" si="9"/>
        <v>0</v>
      </c>
      <c r="F18" s="72">
        <f t="shared" si="9"/>
        <v>0</v>
      </c>
      <c r="G18" s="72">
        <f t="shared" si="9"/>
        <v>0</v>
      </c>
      <c r="H18" s="72">
        <f t="shared" si="9"/>
        <v>0</v>
      </c>
      <c r="I18" s="72">
        <f t="shared" si="9"/>
        <v>0</v>
      </c>
      <c r="J18" s="72">
        <f t="shared" si="9"/>
        <v>0</v>
      </c>
      <c r="K18" s="72">
        <f t="shared" si="9"/>
        <v>0</v>
      </c>
      <c r="L18" s="73">
        <f t="shared" si="5"/>
        <v>0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spans="1:33">
      <c r="A19" s="74">
        <v>0</v>
      </c>
      <c r="B19" s="72" t="s">
        <v>67</v>
      </c>
      <c r="C19" s="72">
        <f>C59</f>
        <v>0</v>
      </c>
      <c r="D19" s="72">
        <f t="shared" ref="D19:K19" si="10">D59</f>
        <v>0</v>
      </c>
      <c r="E19" s="72">
        <f t="shared" si="10"/>
        <v>0</v>
      </c>
      <c r="F19" s="72">
        <f t="shared" si="10"/>
        <v>0</v>
      </c>
      <c r="G19" s="72">
        <f t="shared" si="10"/>
        <v>0</v>
      </c>
      <c r="H19" s="72">
        <f t="shared" si="10"/>
        <v>0</v>
      </c>
      <c r="I19" s="72">
        <f t="shared" si="10"/>
        <v>0</v>
      </c>
      <c r="J19" s="72">
        <f t="shared" si="10"/>
        <v>0</v>
      </c>
      <c r="K19" s="72">
        <f t="shared" si="10"/>
        <v>0</v>
      </c>
      <c r="L19" s="73">
        <f t="shared" si="5"/>
        <v>0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</row>
    <row r="20" spans="1:33">
      <c r="A20" s="75"/>
      <c r="B20" s="73">
        <f>SUM(B14:B19)</f>
        <v>0</v>
      </c>
      <c r="C20" s="73">
        <f t="shared" ref="C20:K20" si="11">SUM(C14:C19)</f>
        <v>-2500</v>
      </c>
      <c r="D20" s="73">
        <f t="shared" si="11"/>
        <v>-1000</v>
      </c>
      <c r="E20" s="73">
        <f t="shared" si="11"/>
        <v>-1200</v>
      </c>
      <c r="F20" s="73">
        <f t="shared" si="11"/>
        <v>-1200</v>
      </c>
      <c r="G20" s="73">
        <f t="shared" si="11"/>
        <v>0</v>
      </c>
      <c r="H20" s="73">
        <f t="shared" si="11"/>
        <v>0</v>
      </c>
      <c r="I20" s="73">
        <f t="shared" si="11"/>
        <v>0</v>
      </c>
      <c r="J20" s="73">
        <f t="shared" si="11"/>
        <v>0</v>
      </c>
      <c r="K20" s="73">
        <f t="shared" si="11"/>
        <v>0</v>
      </c>
      <c r="L20" s="73">
        <f>SUM(B20:K20)</f>
        <v>-5900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</row>
    <row r="21" spans="1:33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spans="1:33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65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1:33">
      <c r="A23" s="76" t="s">
        <v>47</v>
      </c>
      <c r="B23" s="54">
        <v>44986</v>
      </c>
      <c r="C23" s="55">
        <v>45017</v>
      </c>
      <c r="D23" s="55">
        <v>45047</v>
      </c>
      <c r="E23" s="55">
        <v>45078</v>
      </c>
      <c r="F23" s="55">
        <v>45108</v>
      </c>
      <c r="G23" s="55">
        <v>45139</v>
      </c>
      <c r="H23" s="55">
        <v>45170</v>
      </c>
      <c r="I23" s="55">
        <v>45200</v>
      </c>
      <c r="J23" s="55">
        <v>45231</v>
      </c>
      <c r="K23" s="55">
        <v>45261</v>
      </c>
      <c r="L23" s="56" t="s">
        <v>43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spans="1:33">
      <c r="A24" s="77" t="s">
        <v>69</v>
      </c>
      <c r="B24" s="78" t="s">
        <v>67</v>
      </c>
      <c r="C24" s="78">
        <f>C3*(1-C$11)+C14</f>
        <v>3764</v>
      </c>
      <c r="D24" s="78">
        <f t="shared" ref="D24:K24" si="12">D3*(1-D$11)+D14</f>
        <v>7728</v>
      </c>
      <c r="E24" s="78">
        <f t="shared" si="12"/>
        <v>0</v>
      </c>
      <c r="F24" s="78">
        <f t="shared" si="12"/>
        <v>0</v>
      </c>
      <c r="G24" s="78">
        <f t="shared" si="12"/>
        <v>0</v>
      </c>
      <c r="H24" s="78">
        <f t="shared" si="12"/>
        <v>0</v>
      </c>
      <c r="I24" s="78">
        <f t="shared" si="12"/>
        <v>0</v>
      </c>
      <c r="J24" s="78">
        <f t="shared" si="12"/>
        <v>0</v>
      </c>
      <c r="K24" s="78">
        <f t="shared" si="12"/>
        <v>0</v>
      </c>
      <c r="L24" s="79">
        <f>SUM(B24:K24)</f>
        <v>11492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spans="1:33">
      <c r="A25" s="77" t="s">
        <v>70</v>
      </c>
      <c r="B25" s="78" t="s">
        <v>67</v>
      </c>
      <c r="C25" s="78">
        <f t="shared" ref="C25:K29" si="13">C4*(1-C$11)+C15</f>
        <v>-1000</v>
      </c>
      <c r="D25" s="78">
        <f t="shared" si="13"/>
        <v>18400</v>
      </c>
      <c r="E25" s="78">
        <f t="shared" si="13"/>
        <v>0</v>
      </c>
      <c r="F25" s="78">
        <f t="shared" si="13"/>
        <v>0</v>
      </c>
      <c r="G25" s="78">
        <f t="shared" si="13"/>
        <v>0</v>
      </c>
      <c r="H25" s="78">
        <f t="shared" si="13"/>
        <v>0</v>
      </c>
      <c r="I25" s="78">
        <f t="shared" si="13"/>
        <v>0</v>
      </c>
      <c r="J25" s="78">
        <f t="shared" si="13"/>
        <v>0</v>
      </c>
      <c r="K25" s="78">
        <f t="shared" si="13"/>
        <v>0</v>
      </c>
      <c r="L25" s="79">
        <f t="shared" ref="L25:L29" si="14">SUM(B25:K25)</f>
        <v>17400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spans="1:33">
      <c r="A26" s="77" t="s">
        <v>71</v>
      </c>
      <c r="B26" s="78" t="s">
        <v>67</v>
      </c>
      <c r="C26" s="78">
        <f t="shared" si="13"/>
        <v>2350</v>
      </c>
      <c r="D26" s="78">
        <f t="shared" si="13"/>
        <v>1300</v>
      </c>
      <c r="E26" s="78">
        <f t="shared" si="13"/>
        <v>1100</v>
      </c>
      <c r="F26" s="78">
        <f t="shared" si="13"/>
        <v>1100</v>
      </c>
      <c r="G26" s="78">
        <f t="shared" si="13"/>
        <v>0</v>
      </c>
      <c r="H26" s="78">
        <f t="shared" si="13"/>
        <v>0</v>
      </c>
      <c r="I26" s="78">
        <f t="shared" si="13"/>
        <v>0</v>
      </c>
      <c r="J26" s="78">
        <f t="shared" si="13"/>
        <v>0</v>
      </c>
      <c r="K26" s="78">
        <f t="shared" si="13"/>
        <v>0</v>
      </c>
      <c r="L26" s="79">
        <f t="shared" si="14"/>
        <v>5850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spans="1:33">
      <c r="A27" s="77">
        <v>0</v>
      </c>
      <c r="B27" s="78" t="s">
        <v>67</v>
      </c>
      <c r="C27" s="78">
        <f t="shared" si="13"/>
        <v>0</v>
      </c>
      <c r="D27" s="78">
        <f t="shared" si="13"/>
        <v>0</v>
      </c>
      <c r="E27" s="78">
        <f t="shared" si="13"/>
        <v>0</v>
      </c>
      <c r="F27" s="78">
        <f t="shared" si="13"/>
        <v>0</v>
      </c>
      <c r="G27" s="78">
        <f t="shared" si="13"/>
        <v>0</v>
      </c>
      <c r="H27" s="78">
        <f t="shared" si="13"/>
        <v>0</v>
      </c>
      <c r="I27" s="78">
        <f t="shared" si="13"/>
        <v>0</v>
      </c>
      <c r="J27" s="78">
        <f t="shared" si="13"/>
        <v>0</v>
      </c>
      <c r="K27" s="78">
        <f t="shared" si="13"/>
        <v>0</v>
      </c>
      <c r="L27" s="79">
        <f t="shared" si="14"/>
        <v>0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spans="1:33">
      <c r="A28" s="77">
        <v>0</v>
      </c>
      <c r="B28" s="78" t="s">
        <v>67</v>
      </c>
      <c r="C28" s="78">
        <f t="shared" si="13"/>
        <v>0</v>
      </c>
      <c r="D28" s="78">
        <f t="shared" si="13"/>
        <v>0</v>
      </c>
      <c r="E28" s="78">
        <f t="shared" si="13"/>
        <v>0</v>
      </c>
      <c r="F28" s="78">
        <f t="shared" si="13"/>
        <v>0</v>
      </c>
      <c r="G28" s="78">
        <f t="shared" si="13"/>
        <v>0</v>
      </c>
      <c r="H28" s="78">
        <f t="shared" si="13"/>
        <v>0</v>
      </c>
      <c r="I28" s="78">
        <f t="shared" si="13"/>
        <v>0</v>
      </c>
      <c r="J28" s="78">
        <f t="shared" si="13"/>
        <v>0</v>
      </c>
      <c r="K28" s="78">
        <f t="shared" si="13"/>
        <v>0</v>
      </c>
      <c r="L28" s="79">
        <f t="shared" si="14"/>
        <v>0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spans="1:33">
      <c r="A29" s="80">
        <v>0</v>
      </c>
      <c r="B29" s="78" t="s">
        <v>67</v>
      </c>
      <c r="C29" s="78">
        <f t="shared" si="13"/>
        <v>0</v>
      </c>
      <c r="D29" s="78">
        <f t="shared" si="13"/>
        <v>0</v>
      </c>
      <c r="E29" s="78">
        <f t="shared" si="13"/>
        <v>0</v>
      </c>
      <c r="F29" s="78">
        <f t="shared" si="13"/>
        <v>0</v>
      </c>
      <c r="G29" s="78">
        <f t="shared" si="13"/>
        <v>0</v>
      </c>
      <c r="H29" s="78">
        <f t="shared" si="13"/>
        <v>0</v>
      </c>
      <c r="I29" s="78">
        <f t="shared" si="13"/>
        <v>0</v>
      </c>
      <c r="J29" s="78">
        <f t="shared" si="13"/>
        <v>0</v>
      </c>
      <c r="K29" s="78">
        <f t="shared" si="13"/>
        <v>0</v>
      </c>
      <c r="L29" s="79">
        <f t="shared" si="14"/>
        <v>0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spans="1:33">
      <c r="A30" s="75"/>
      <c r="B30" s="79">
        <f>SUM(B24:B29)</f>
        <v>0</v>
      </c>
      <c r="C30" s="79">
        <f t="shared" ref="C30:K30" si="15">SUM(C24:C29)</f>
        <v>5114</v>
      </c>
      <c r="D30" s="79">
        <f t="shared" si="15"/>
        <v>27428</v>
      </c>
      <c r="E30" s="79">
        <f t="shared" si="15"/>
        <v>1100</v>
      </c>
      <c r="F30" s="79">
        <f t="shared" si="15"/>
        <v>1100</v>
      </c>
      <c r="G30" s="79">
        <f t="shared" si="15"/>
        <v>0</v>
      </c>
      <c r="H30" s="79">
        <f t="shared" si="15"/>
        <v>0</v>
      </c>
      <c r="I30" s="79">
        <f t="shared" si="15"/>
        <v>0</v>
      </c>
      <c r="J30" s="79">
        <f t="shared" si="15"/>
        <v>0</v>
      </c>
      <c r="K30" s="79">
        <f t="shared" si="15"/>
        <v>0</v>
      </c>
      <c r="L30" s="79">
        <f>SUM(B30:K30)</f>
        <v>34742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spans="1:33">
      <c r="A31" s="75"/>
      <c r="B31" s="75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</row>
    <row r="32" spans="1:33">
      <c r="A32" s="75"/>
      <c r="B32" s="75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</row>
    <row r="33" spans="1:33">
      <c r="A33" s="75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</row>
    <row r="34" spans="1:33">
      <c r="A34" s="68" t="s">
        <v>69</v>
      </c>
      <c r="B34" s="83" t="s">
        <v>67</v>
      </c>
      <c r="C34" s="83">
        <f>SUM(C35:C37)</f>
        <v>-1500</v>
      </c>
      <c r="D34" s="83">
        <f t="shared" ref="D34:K34" si="16">SUM(D35:D37)</f>
        <v>0</v>
      </c>
      <c r="E34" s="83">
        <f t="shared" si="16"/>
        <v>0</v>
      </c>
      <c r="F34" s="83">
        <f t="shared" si="16"/>
        <v>0</v>
      </c>
      <c r="G34" s="83">
        <f t="shared" si="16"/>
        <v>0</v>
      </c>
      <c r="H34" s="83">
        <f t="shared" si="16"/>
        <v>0</v>
      </c>
      <c r="I34" s="83">
        <f t="shared" si="16"/>
        <v>0</v>
      </c>
      <c r="J34" s="83">
        <f t="shared" si="16"/>
        <v>0</v>
      </c>
      <c r="K34" s="83">
        <f t="shared" si="16"/>
        <v>0</v>
      </c>
      <c r="L34" s="73">
        <f>SUM(B34:K34)</f>
        <v>-1500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</row>
    <row r="35" spans="1:33">
      <c r="A35" s="84" t="s">
        <v>73</v>
      </c>
      <c r="B35" s="85" t="s">
        <v>67</v>
      </c>
      <c r="C35" s="85"/>
      <c r="D35" s="85" t="s">
        <v>68</v>
      </c>
      <c r="E35" s="85" t="s">
        <v>68</v>
      </c>
      <c r="F35" s="85" t="s">
        <v>68</v>
      </c>
      <c r="G35" s="85" t="s">
        <v>68</v>
      </c>
      <c r="H35" s="85" t="s">
        <v>68</v>
      </c>
      <c r="I35" s="85" t="s">
        <v>68</v>
      </c>
      <c r="J35" s="85" t="s">
        <v>68</v>
      </c>
      <c r="K35" s="85" t="s">
        <v>68</v>
      </c>
      <c r="L35" s="85" t="s">
        <v>72</v>
      </c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</row>
    <row r="36" spans="1:33">
      <c r="A36" s="86" t="s">
        <v>49</v>
      </c>
      <c r="B36" s="85" t="s">
        <v>67</v>
      </c>
      <c r="C36" s="85">
        <v>-1000</v>
      </c>
      <c r="D36" s="85" t="s">
        <v>68</v>
      </c>
      <c r="E36" s="85" t="s">
        <v>68</v>
      </c>
      <c r="F36" s="85" t="s">
        <v>68</v>
      </c>
      <c r="G36" s="85" t="s">
        <v>68</v>
      </c>
      <c r="H36" s="85" t="s">
        <v>68</v>
      </c>
      <c r="I36" s="85" t="s">
        <v>68</v>
      </c>
      <c r="J36" s="85" t="s">
        <v>68</v>
      </c>
      <c r="K36" s="85" t="s">
        <v>68</v>
      </c>
      <c r="L36" s="85" t="s">
        <v>72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</row>
    <row r="37" spans="1:33">
      <c r="A37" s="86" t="s">
        <v>50</v>
      </c>
      <c r="B37" s="85" t="s">
        <v>67</v>
      </c>
      <c r="C37" s="85">
        <v>-500</v>
      </c>
      <c r="D37" s="85" t="s">
        <v>68</v>
      </c>
      <c r="E37" s="85" t="s">
        <v>68</v>
      </c>
      <c r="F37" s="85" t="s">
        <v>68</v>
      </c>
      <c r="G37" s="85" t="s">
        <v>68</v>
      </c>
      <c r="H37" s="85" t="s">
        <v>68</v>
      </c>
      <c r="I37" s="85" t="s">
        <v>68</v>
      </c>
      <c r="J37" s="85" t="s">
        <v>68</v>
      </c>
      <c r="K37" s="85" t="s">
        <v>68</v>
      </c>
      <c r="L37" s="85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</row>
    <row r="38" spans="1:33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</row>
    <row r="39" spans="1:33">
      <c r="A39" s="68" t="s">
        <v>70</v>
      </c>
      <c r="B39" s="83" t="s">
        <v>67</v>
      </c>
      <c r="C39" s="83">
        <f>SUM(C40:C42)</f>
        <v>-400</v>
      </c>
      <c r="D39" s="83">
        <f t="shared" ref="D39:K39" si="17">SUM(D40:D42)</f>
        <v>0</v>
      </c>
      <c r="E39" s="83">
        <f t="shared" si="17"/>
        <v>0</v>
      </c>
      <c r="F39" s="83">
        <f t="shared" si="17"/>
        <v>0</v>
      </c>
      <c r="G39" s="83">
        <f t="shared" si="17"/>
        <v>0</v>
      </c>
      <c r="H39" s="83">
        <f t="shared" si="17"/>
        <v>0</v>
      </c>
      <c r="I39" s="83">
        <f t="shared" si="17"/>
        <v>0</v>
      </c>
      <c r="J39" s="83">
        <f t="shared" si="17"/>
        <v>0</v>
      </c>
      <c r="K39" s="83">
        <f t="shared" si="17"/>
        <v>0</v>
      </c>
      <c r="L39" s="73">
        <f>SUM(B39:K39)</f>
        <v>-400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</row>
    <row r="40" spans="1:33">
      <c r="A40" s="84" t="s">
        <v>73</v>
      </c>
      <c r="B40" s="85" t="s">
        <v>67</v>
      </c>
      <c r="C40" s="85" t="s">
        <v>68</v>
      </c>
      <c r="D40" s="85" t="s">
        <v>68</v>
      </c>
      <c r="E40" s="85" t="s">
        <v>68</v>
      </c>
      <c r="F40" s="85" t="s">
        <v>68</v>
      </c>
      <c r="G40" s="85" t="s">
        <v>68</v>
      </c>
      <c r="H40" s="85" t="s">
        <v>68</v>
      </c>
      <c r="I40" s="85" t="s">
        <v>68</v>
      </c>
      <c r="J40" s="85" t="s">
        <v>68</v>
      </c>
      <c r="K40" s="85" t="s">
        <v>68</v>
      </c>
      <c r="L40" s="85" t="s">
        <v>72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</row>
    <row r="41" spans="1:33">
      <c r="A41" s="86" t="s">
        <v>49</v>
      </c>
      <c r="B41" s="85" t="s">
        <v>67</v>
      </c>
      <c r="C41" s="85" t="s">
        <v>68</v>
      </c>
      <c r="D41" s="85"/>
      <c r="E41" s="85" t="s">
        <v>68</v>
      </c>
      <c r="F41" s="85" t="s">
        <v>68</v>
      </c>
      <c r="G41" s="85" t="s">
        <v>68</v>
      </c>
      <c r="H41" s="85" t="s">
        <v>68</v>
      </c>
      <c r="I41" s="85" t="s">
        <v>68</v>
      </c>
      <c r="J41" s="85" t="s">
        <v>68</v>
      </c>
      <c r="K41" s="85" t="s">
        <v>68</v>
      </c>
      <c r="L41" s="85" t="s">
        <v>72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</row>
    <row r="42" spans="1:33">
      <c r="A42" s="86" t="s">
        <v>50</v>
      </c>
      <c r="B42" s="85" t="s">
        <v>67</v>
      </c>
      <c r="C42" s="85">
        <v>-400</v>
      </c>
      <c r="D42" s="85" t="s">
        <v>68</v>
      </c>
      <c r="E42" s="85" t="s">
        <v>68</v>
      </c>
      <c r="F42" s="85" t="s">
        <v>68</v>
      </c>
      <c r="G42" s="85" t="s">
        <v>68</v>
      </c>
      <c r="H42" s="85" t="s">
        <v>68</v>
      </c>
      <c r="I42" s="85" t="s">
        <v>68</v>
      </c>
      <c r="J42" s="85" t="s">
        <v>68</v>
      </c>
      <c r="K42" s="85" t="s">
        <v>68</v>
      </c>
      <c r="L42" s="85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</row>
    <row r="43" spans="1:3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</row>
    <row r="44" spans="1:33">
      <c r="A44" s="68" t="s">
        <v>71</v>
      </c>
      <c r="B44" s="83" t="s">
        <v>67</v>
      </c>
      <c r="C44" s="83">
        <f>SUM(C45:C47)</f>
        <v>0</v>
      </c>
      <c r="D44" s="83">
        <f t="shared" ref="D44:K44" si="18">SUM(D45:D47)</f>
        <v>-1000</v>
      </c>
      <c r="E44" s="83">
        <f t="shared" si="18"/>
        <v>-1200</v>
      </c>
      <c r="F44" s="83">
        <f t="shared" si="18"/>
        <v>-1200</v>
      </c>
      <c r="G44" s="83">
        <f t="shared" si="18"/>
        <v>0</v>
      </c>
      <c r="H44" s="83">
        <f t="shared" si="18"/>
        <v>0</v>
      </c>
      <c r="I44" s="83">
        <f t="shared" si="18"/>
        <v>0</v>
      </c>
      <c r="J44" s="83">
        <f t="shared" si="18"/>
        <v>0</v>
      </c>
      <c r="K44" s="83">
        <f t="shared" si="18"/>
        <v>0</v>
      </c>
      <c r="L44" s="73">
        <f>SUM(B44:K44)</f>
        <v>-3400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</row>
    <row r="45" spans="1:33">
      <c r="A45" s="84" t="s">
        <v>73</v>
      </c>
      <c r="B45" s="85" t="s">
        <v>67</v>
      </c>
      <c r="C45" s="85" t="s">
        <v>68</v>
      </c>
      <c r="D45" s="85" t="s">
        <v>68</v>
      </c>
      <c r="E45" s="85">
        <v>-1200</v>
      </c>
      <c r="F45" s="85">
        <v>-1200</v>
      </c>
      <c r="G45" s="85" t="s">
        <v>68</v>
      </c>
      <c r="H45" s="85" t="s">
        <v>68</v>
      </c>
      <c r="I45" s="85" t="s">
        <v>68</v>
      </c>
      <c r="J45" s="85" t="s">
        <v>68</v>
      </c>
      <c r="K45" s="85" t="s">
        <v>68</v>
      </c>
      <c r="L45" s="85" t="s">
        <v>72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</row>
    <row r="46" spans="1:33">
      <c r="A46" s="86" t="s">
        <v>49</v>
      </c>
      <c r="B46" s="85" t="s">
        <v>67</v>
      </c>
      <c r="C46" s="85" t="s">
        <v>68</v>
      </c>
      <c r="D46" s="85">
        <v>-1000</v>
      </c>
      <c r="E46" s="85" t="s">
        <v>68</v>
      </c>
      <c r="F46" s="85" t="s">
        <v>68</v>
      </c>
      <c r="G46" s="85" t="s">
        <v>68</v>
      </c>
      <c r="H46" s="85" t="s">
        <v>68</v>
      </c>
      <c r="I46" s="85" t="s">
        <v>68</v>
      </c>
      <c r="J46" s="85" t="s">
        <v>68</v>
      </c>
      <c r="K46" s="85" t="s">
        <v>68</v>
      </c>
      <c r="L46" s="85" t="s">
        <v>72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</row>
    <row r="47" spans="1:33">
      <c r="A47" s="86" t="s">
        <v>50</v>
      </c>
      <c r="B47" s="85" t="s">
        <v>67</v>
      </c>
      <c r="C47" s="85" t="s">
        <v>68</v>
      </c>
      <c r="D47" s="85"/>
      <c r="E47" s="85" t="s">
        <v>68</v>
      </c>
      <c r="F47" s="85" t="s">
        <v>68</v>
      </c>
      <c r="G47" s="85" t="s">
        <v>68</v>
      </c>
      <c r="H47" s="85" t="s">
        <v>68</v>
      </c>
      <c r="I47" s="85" t="s">
        <v>68</v>
      </c>
      <c r="J47" s="85" t="s">
        <v>68</v>
      </c>
      <c r="K47" s="85" t="s">
        <v>68</v>
      </c>
      <c r="L47" s="85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</row>
    <row r="48" spans="1:33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 spans="1:33">
      <c r="A49" s="68">
        <v>0</v>
      </c>
      <c r="B49" s="83" t="s">
        <v>67</v>
      </c>
      <c r="C49" s="83">
        <f t="shared" ref="C49:K49" si="19">SUM(C50:C52)</f>
        <v>0</v>
      </c>
      <c r="D49" s="83">
        <f t="shared" si="19"/>
        <v>0</v>
      </c>
      <c r="E49" s="83">
        <f t="shared" si="19"/>
        <v>0</v>
      </c>
      <c r="F49" s="83">
        <f t="shared" si="19"/>
        <v>0</v>
      </c>
      <c r="G49" s="83">
        <f t="shared" si="19"/>
        <v>0</v>
      </c>
      <c r="H49" s="83">
        <f t="shared" si="19"/>
        <v>0</v>
      </c>
      <c r="I49" s="83">
        <f t="shared" si="19"/>
        <v>0</v>
      </c>
      <c r="J49" s="83">
        <f t="shared" si="19"/>
        <v>0</v>
      </c>
      <c r="K49" s="83">
        <f t="shared" si="19"/>
        <v>0</v>
      </c>
      <c r="L49" s="73">
        <f>SUM(B49:K49)</f>
        <v>0</v>
      </c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spans="1:33">
      <c r="A50" s="84" t="s">
        <v>73</v>
      </c>
      <c r="B50" s="85" t="s">
        <v>67</v>
      </c>
      <c r="C50" s="85" t="s">
        <v>68</v>
      </c>
      <c r="D50" s="85" t="s">
        <v>68</v>
      </c>
      <c r="E50" s="85" t="s">
        <v>68</v>
      </c>
      <c r="F50" s="85" t="s">
        <v>68</v>
      </c>
      <c r="G50" s="85" t="s">
        <v>68</v>
      </c>
      <c r="H50" s="85" t="s">
        <v>68</v>
      </c>
      <c r="I50" s="85" t="s">
        <v>68</v>
      </c>
      <c r="J50" s="85" t="s">
        <v>68</v>
      </c>
      <c r="K50" s="85" t="s">
        <v>68</v>
      </c>
      <c r="L50" s="85" t="s">
        <v>72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</row>
    <row r="51" spans="1:33">
      <c r="A51" s="86" t="s">
        <v>49</v>
      </c>
      <c r="B51" s="85" t="s">
        <v>67</v>
      </c>
      <c r="C51" s="85" t="s">
        <v>68</v>
      </c>
      <c r="D51" s="85" t="s">
        <v>68</v>
      </c>
      <c r="E51" s="85" t="s">
        <v>68</v>
      </c>
      <c r="F51" s="85" t="s">
        <v>68</v>
      </c>
      <c r="G51" s="85" t="s">
        <v>68</v>
      </c>
      <c r="H51" s="85" t="s">
        <v>68</v>
      </c>
      <c r="I51" s="85" t="s">
        <v>68</v>
      </c>
      <c r="J51" s="85" t="s">
        <v>68</v>
      </c>
      <c r="K51" s="85" t="s">
        <v>68</v>
      </c>
      <c r="L51" s="85" t="s">
        <v>72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spans="1:33">
      <c r="A52" s="86" t="s">
        <v>50</v>
      </c>
      <c r="B52" s="85" t="s">
        <v>67</v>
      </c>
      <c r="C52" s="85" t="s">
        <v>68</v>
      </c>
      <c r="D52" s="85" t="s">
        <v>68</v>
      </c>
      <c r="E52" s="85" t="s">
        <v>68</v>
      </c>
      <c r="F52" s="85" t="s">
        <v>68</v>
      </c>
      <c r="G52" s="85" t="s">
        <v>68</v>
      </c>
      <c r="H52" s="85" t="s">
        <v>68</v>
      </c>
      <c r="I52" s="85" t="s">
        <v>68</v>
      </c>
      <c r="J52" s="85" t="s">
        <v>68</v>
      </c>
      <c r="K52" s="85" t="s">
        <v>68</v>
      </c>
      <c r="L52" s="85" t="s">
        <v>72</v>
      </c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</row>
    <row r="53" spans="1:3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</row>
    <row r="54" spans="1:33">
      <c r="A54" s="68">
        <v>0</v>
      </c>
      <c r="B54" s="83" t="s">
        <v>67</v>
      </c>
      <c r="C54" s="83">
        <f t="shared" ref="C54:K54" si="20">SUM(C55:C57)</f>
        <v>0</v>
      </c>
      <c r="D54" s="83">
        <f t="shared" si="20"/>
        <v>0</v>
      </c>
      <c r="E54" s="83">
        <f t="shared" si="20"/>
        <v>0</v>
      </c>
      <c r="F54" s="83">
        <f t="shared" si="20"/>
        <v>0</v>
      </c>
      <c r="G54" s="83">
        <f t="shared" si="20"/>
        <v>0</v>
      </c>
      <c r="H54" s="83">
        <f t="shared" si="20"/>
        <v>0</v>
      </c>
      <c r="I54" s="83">
        <f t="shared" si="20"/>
        <v>0</v>
      </c>
      <c r="J54" s="83">
        <f t="shared" si="20"/>
        <v>0</v>
      </c>
      <c r="K54" s="83">
        <f t="shared" si="20"/>
        <v>0</v>
      </c>
      <c r="L54" s="73">
        <f>SUM(B54:K54)</f>
        <v>0</v>
      </c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</row>
    <row r="55" spans="1:33">
      <c r="A55" s="84" t="s">
        <v>73</v>
      </c>
      <c r="B55" s="85" t="s">
        <v>67</v>
      </c>
      <c r="C55" s="85" t="s">
        <v>68</v>
      </c>
      <c r="D55" s="85" t="s">
        <v>68</v>
      </c>
      <c r="E55" s="85" t="s">
        <v>68</v>
      </c>
      <c r="F55" s="85" t="s">
        <v>68</v>
      </c>
      <c r="G55" s="85" t="s">
        <v>68</v>
      </c>
      <c r="H55" s="85" t="s">
        <v>68</v>
      </c>
      <c r="I55" s="85" t="s">
        <v>68</v>
      </c>
      <c r="J55" s="85" t="s">
        <v>68</v>
      </c>
      <c r="K55" s="85" t="s">
        <v>68</v>
      </c>
      <c r="L55" s="85" t="s">
        <v>72</v>
      </c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</row>
    <row r="56" spans="1:33">
      <c r="A56" s="86" t="s">
        <v>49</v>
      </c>
      <c r="B56" s="85" t="s">
        <v>67</v>
      </c>
      <c r="C56" s="85" t="s">
        <v>68</v>
      </c>
      <c r="D56" s="85" t="s">
        <v>68</v>
      </c>
      <c r="E56" s="85" t="s">
        <v>68</v>
      </c>
      <c r="F56" s="85" t="s">
        <v>68</v>
      </c>
      <c r="G56" s="85" t="s">
        <v>68</v>
      </c>
      <c r="H56" s="85" t="s">
        <v>68</v>
      </c>
      <c r="I56" s="85" t="s">
        <v>68</v>
      </c>
      <c r="J56" s="85" t="s">
        <v>68</v>
      </c>
      <c r="K56" s="85" t="s">
        <v>68</v>
      </c>
      <c r="L56" s="85" t="s">
        <v>72</v>
      </c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</row>
    <row r="57" spans="1:33">
      <c r="A57" s="86" t="s">
        <v>50</v>
      </c>
      <c r="B57" s="85" t="s">
        <v>67</v>
      </c>
      <c r="C57" s="85" t="s">
        <v>68</v>
      </c>
      <c r="D57" s="85" t="s">
        <v>68</v>
      </c>
      <c r="E57" s="85" t="s">
        <v>68</v>
      </c>
      <c r="F57" s="85" t="s">
        <v>68</v>
      </c>
      <c r="G57" s="85" t="s">
        <v>68</v>
      </c>
      <c r="H57" s="85" t="s">
        <v>68</v>
      </c>
      <c r="I57" s="85" t="s">
        <v>68</v>
      </c>
      <c r="J57" s="85" t="s">
        <v>68</v>
      </c>
      <c r="K57" s="85" t="s">
        <v>68</v>
      </c>
      <c r="L57" s="85" t="s">
        <v>72</v>
      </c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</row>
    <row r="58" spans="1:33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</row>
    <row r="59" spans="1:33">
      <c r="A59" s="68">
        <v>0</v>
      </c>
      <c r="B59" s="83" t="s">
        <v>67</v>
      </c>
      <c r="C59" s="83">
        <f t="shared" ref="C59:K59" si="21">SUM(C60:C62)</f>
        <v>0</v>
      </c>
      <c r="D59" s="83">
        <f t="shared" si="21"/>
        <v>0</v>
      </c>
      <c r="E59" s="83">
        <f t="shared" si="21"/>
        <v>0</v>
      </c>
      <c r="F59" s="83">
        <f t="shared" si="21"/>
        <v>0</v>
      </c>
      <c r="G59" s="83">
        <f t="shared" si="21"/>
        <v>0</v>
      </c>
      <c r="H59" s="83">
        <f t="shared" si="21"/>
        <v>0</v>
      </c>
      <c r="I59" s="83">
        <f t="shared" si="21"/>
        <v>0</v>
      </c>
      <c r="J59" s="83">
        <f t="shared" si="21"/>
        <v>0</v>
      </c>
      <c r="K59" s="83">
        <f t="shared" si="21"/>
        <v>0</v>
      </c>
      <c r="L59" s="73">
        <f>SUM(B59:K59)</f>
        <v>0</v>
      </c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</row>
    <row r="60" spans="1:33">
      <c r="A60" s="84" t="s">
        <v>73</v>
      </c>
      <c r="B60" s="85" t="s">
        <v>67</v>
      </c>
      <c r="C60" s="85" t="s">
        <v>68</v>
      </c>
      <c r="D60" s="85" t="s">
        <v>68</v>
      </c>
      <c r="E60" s="85" t="s">
        <v>68</v>
      </c>
      <c r="F60" s="85" t="s">
        <v>68</v>
      </c>
      <c r="G60" s="85" t="s">
        <v>68</v>
      </c>
      <c r="H60" s="85" t="s">
        <v>68</v>
      </c>
      <c r="I60" s="85" t="s">
        <v>68</v>
      </c>
      <c r="J60" s="85" t="s">
        <v>68</v>
      </c>
      <c r="K60" s="85" t="s">
        <v>68</v>
      </c>
      <c r="L60" s="85" t="s">
        <v>72</v>
      </c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</row>
    <row r="61" spans="1:33">
      <c r="A61" s="86" t="s">
        <v>49</v>
      </c>
      <c r="B61" s="85" t="s">
        <v>67</v>
      </c>
      <c r="C61" s="85" t="s">
        <v>68</v>
      </c>
      <c r="D61" s="85" t="s">
        <v>68</v>
      </c>
      <c r="E61" s="85" t="s">
        <v>68</v>
      </c>
      <c r="F61" s="85" t="s">
        <v>68</v>
      </c>
      <c r="G61" s="85" t="s">
        <v>68</v>
      </c>
      <c r="H61" s="85" t="s">
        <v>68</v>
      </c>
      <c r="I61" s="85" t="s">
        <v>68</v>
      </c>
      <c r="J61" s="85" t="s">
        <v>68</v>
      </c>
      <c r="K61" s="85" t="s">
        <v>68</v>
      </c>
      <c r="L61" s="85" t="s">
        <v>72</v>
      </c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</row>
    <row r="62" spans="1:33">
      <c r="A62" s="86" t="s">
        <v>50</v>
      </c>
      <c r="B62" s="85" t="s">
        <v>67</v>
      </c>
      <c r="C62" s="85" t="s">
        <v>68</v>
      </c>
      <c r="D62" s="85" t="s">
        <v>68</v>
      </c>
      <c r="E62" s="85" t="s">
        <v>68</v>
      </c>
      <c r="F62" s="85" t="s">
        <v>68</v>
      </c>
      <c r="G62" s="85" t="s">
        <v>68</v>
      </c>
      <c r="H62" s="85" t="s">
        <v>68</v>
      </c>
      <c r="I62" s="85" t="s">
        <v>68</v>
      </c>
      <c r="J62" s="85" t="s">
        <v>68</v>
      </c>
      <c r="K62" s="85" t="s">
        <v>68</v>
      </c>
      <c r="L62" s="85" t="s">
        <v>72</v>
      </c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</row>
    <row r="63" spans="1:3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</row>
    <row r="64" spans="1:33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</row>
    <row r="65" spans="1:33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</row>
    <row r="66" spans="1:33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</row>
    <row r="67" spans="1:33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</row>
    <row r="68" spans="1:33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</row>
    <row r="69" spans="1:33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</row>
    <row r="70" spans="1:33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</row>
    <row r="71" spans="1:33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</row>
    <row r="72" spans="1:33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</row>
    <row r="73" spans="1:3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</row>
    <row r="74" spans="1:33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</row>
    <row r="75" spans="1:33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</row>
    <row r="76" spans="1:33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</row>
    <row r="77" spans="1:33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</row>
    <row r="78" spans="1:33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</row>
    <row r="79" spans="1:33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</row>
    <row r="80" spans="1:33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</row>
    <row r="81" spans="1:33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</row>
    <row r="82" spans="1:33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</row>
    <row r="83" spans="1:3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</row>
    <row r="84" spans="1:33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</row>
    <row r="85" spans="1:33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</row>
    <row r="86" spans="1:33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</row>
    <row r="87" spans="1:3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</row>
    <row r="88" spans="1:33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</row>
    <row r="89" spans="1:33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</row>
    <row r="90" spans="1:33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</row>
    <row r="91" spans="1:33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</row>
    <row r="92" spans="1:33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</row>
    <row r="93" spans="1:3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</row>
    <row r="94" spans="1:33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</row>
    <row r="95" spans="1:33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</row>
    <row r="96" spans="1:33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</row>
    <row r="97" spans="1:33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</row>
    <row r="98" spans="1:33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</row>
    <row r="99" spans="1:33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</row>
    <row r="100" spans="1:33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</row>
    <row r="101" spans="1:33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</row>
    <row r="102" spans="1:33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</row>
    <row r="103" spans="1:3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</row>
    <row r="104" spans="1:33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</row>
    <row r="105" spans="1:33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</row>
    <row r="106" spans="1:33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</row>
    <row r="107" spans="1:33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</row>
    <row r="108" spans="1:33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</row>
    <row r="109" spans="1:33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</row>
    <row r="110" spans="1:33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</row>
    <row r="111" spans="1:33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</row>
    <row r="112" spans="1:33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</row>
    <row r="113" spans="1:3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</row>
    <row r="114" spans="1:33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</row>
    <row r="115" spans="1:33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</row>
    <row r="116" spans="1:33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</row>
    <row r="117" spans="1:33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</row>
    <row r="118" spans="1:33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</row>
    <row r="119" spans="1:33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</row>
    <row r="120" spans="1:33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</row>
    <row r="121" spans="1:33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</row>
    <row r="122" spans="1:33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</row>
    <row r="123" spans="1:3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</row>
    <row r="124" spans="1:33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</row>
    <row r="125" spans="1:33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</row>
    <row r="126" spans="1:33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</row>
    <row r="127" spans="1:33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</row>
    <row r="128" spans="1:33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</row>
    <row r="129" spans="1:33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</row>
    <row r="130" spans="1:33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</row>
    <row r="131" spans="1:33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</row>
    <row r="132" spans="1:33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</row>
    <row r="133" spans="1: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</row>
    <row r="134" spans="1:33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</row>
    <row r="135" spans="1:33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</row>
    <row r="136" spans="1:33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</row>
    <row r="137" spans="1:33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</row>
    <row r="138" spans="1:33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</row>
    <row r="139" spans="1:33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</row>
    <row r="140" spans="1:33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</row>
    <row r="141" spans="1:33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</row>
    <row r="142" spans="1:33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</row>
    <row r="143" spans="1:3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</row>
    <row r="144" spans="1:33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</row>
    <row r="145" spans="1:33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</row>
    <row r="146" spans="1:33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</row>
    <row r="147" spans="1:33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</row>
    <row r="148" spans="1:33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</row>
    <row r="149" spans="1:33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</row>
    <row r="150" spans="1:33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</row>
    <row r="151" spans="1:33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</row>
    <row r="152" spans="1:33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</row>
    <row r="153" spans="1:3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</row>
    <row r="154" spans="1:33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</row>
    <row r="155" spans="1:33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</row>
    <row r="156" spans="1:33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</row>
    <row r="157" spans="1:33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</row>
    <row r="158" spans="1:33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</row>
    <row r="159" spans="1:33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</row>
    <row r="160" spans="1:33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</row>
    <row r="161" spans="1:33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</row>
    <row r="162" spans="1:33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</row>
    <row r="163" spans="1:3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</row>
    <row r="164" spans="1:33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</row>
    <row r="165" spans="1:33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</row>
    <row r="166" spans="1:33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</row>
    <row r="167" spans="1:33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</row>
    <row r="168" spans="1:33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</row>
    <row r="169" spans="1:33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</row>
    <row r="170" spans="1:33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</row>
    <row r="171" spans="1:33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</row>
    <row r="172" spans="1:33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</row>
    <row r="173" spans="1:3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</row>
    <row r="174" spans="1:33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</row>
    <row r="175" spans="1:33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</row>
    <row r="176" spans="1:33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</row>
    <row r="177" spans="1:33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</row>
    <row r="178" spans="1:33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</row>
    <row r="179" spans="1:33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</row>
    <row r="180" spans="1:33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</row>
    <row r="181" spans="1:33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</row>
    <row r="182" spans="1:33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</row>
    <row r="183" spans="1:3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</row>
    <row r="184" spans="1:33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</row>
    <row r="185" spans="1:33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</row>
    <row r="186" spans="1:33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</row>
    <row r="187" spans="1:33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</row>
    <row r="188" spans="1:33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</row>
    <row r="189" spans="1:33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</row>
    <row r="190" spans="1:33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</row>
    <row r="191" spans="1:33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</row>
    <row r="192" spans="1:33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</row>
    <row r="193" spans="1:3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</row>
    <row r="194" spans="1:33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</row>
    <row r="195" spans="1:33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</row>
    <row r="196" spans="1:33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</row>
    <row r="197" spans="1:33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</row>
    <row r="198" spans="1:33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</row>
    <row r="199" spans="1:33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</row>
    <row r="200" spans="1:33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</row>
    <row r="201" spans="1:33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</row>
    <row r="202" spans="1:33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</row>
    <row r="203" spans="1:3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</row>
    <row r="204" spans="1:33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</row>
    <row r="205" spans="1:33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</row>
    <row r="206" spans="1:33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</row>
    <row r="207" spans="1:33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</row>
    <row r="208" spans="1:33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</row>
    <row r="209" spans="1:33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</row>
    <row r="210" spans="1:33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</row>
    <row r="211" spans="1:33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</row>
    <row r="212" spans="1:33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</row>
    <row r="213" spans="1:3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</row>
    <row r="214" spans="1:33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</row>
    <row r="215" spans="1:33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</row>
    <row r="216" spans="1:33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</row>
    <row r="217" spans="1:33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</row>
    <row r="218" spans="1:33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</row>
    <row r="219" spans="1:33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</row>
    <row r="220" spans="1:33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</row>
    <row r="221" spans="1:33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</row>
    <row r="222" spans="1:33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</row>
    <row r="223" spans="1:3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</row>
    <row r="224" spans="1:33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</row>
    <row r="225" spans="1:33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</row>
    <row r="226" spans="1:33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</row>
    <row r="227" spans="1:33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</row>
    <row r="228" spans="1:33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</row>
    <row r="229" spans="1:33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</row>
    <row r="230" spans="1:33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</row>
    <row r="231" spans="1:33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</row>
    <row r="232" spans="1:33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</row>
    <row r="233" spans="1: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</row>
    <row r="234" spans="1:33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</row>
    <row r="235" spans="1:33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</row>
    <row r="236" spans="1:33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</row>
    <row r="237" spans="1:33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</row>
    <row r="238" spans="1:33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</row>
    <row r="239" spans="1:33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</row>
    <row r="240" spans="1:33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</row>
    <row r="241" spans="1:33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</row>
    <row r="242" spans="1:33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</row>
    <row r="243" spans="1:3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</row>
    <row r="244" spans="1:33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</row>
    <row r="245" spans="1:33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</row>
    <row r="246" spans="1:33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</row>
    <row r="247" spans="1:33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</row>
    <row r="248" spans="1:33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</row>
    <row r="249" spans="1:33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</row>
    <row r="250" spans="1:33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</row>
    <row r="251" spans="1:33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</row>
    <row r="252" spans="1:33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</row>
    <row r="253" spans="1:3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</row>
    <row r="254" spans="1:33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</row>
    <row r="255" spans="1:33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</row>
    <row r="256" spans="1:33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</row>
    <row r="257" spans="1:33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</row>
    <row r="258" spans="1:33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</row>
    <row r="259" spans="1:33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</row>
    <row r="260" spans="1:33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</row>
    <row r="261" spans="1:33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</row>
    <row r="262" spans="1:33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</row>
    <row r="263" spans="1:3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</row>
    <row r="264" spans="1:33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</row>
    <row r="265" spans="1:33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</row>
    <row r="266" spans="1:33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</row>
    <row r="267" spans="1:33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</row>
    <row r="268" spans="1:33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</row>
    <row r="269" spans="1:33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</row>
    <row r="270" spans="1:33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</row>
    <row r="271" spans="1:33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</row>
    <row r="272" spans="1:33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</row>
    <row r="273" spans="1:3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</row>
    <row r="274" spans="1:33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</row>
    <row r="275" spans="1:33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</row>
    <row r="276" spans="1:33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</row>
    <row r="277" spans="1:33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</row>
    <row r="278" spans="1:33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</row>
    <row r="279" spans="1:33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</row>
    <row r="280" spans="1:33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</row>
    <row r="281" spans="1:33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</row>
    <row r="282" spans="1:33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</row>
    <row r="283" spans="1:3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</row>
    <row r="284" spans="1:33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</row>
    <row r="285" spans="1:33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</row>
    <row r="286" spans="1:33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</row>
    <row r="287" spans="1:33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</row>
    <row r="288" spans="1:33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</row>
    <row r="289" spans="1:33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</row>
    <row r="290" spans="1:33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</row>
    <row r="291" spans="1:33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</row>
    <row r="292" spans="1:33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</row>
    <row r="293" spans="1:3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</row>
    <row r="294" spans="1:33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</row>
    <row r="295" spans="1:33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</row>
    <row r="296" spans="1:33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</row>
    <row r="297" spans="1:33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</row>
    <row r="298" spans="1:33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</row>
    <row r="299" spans="1:33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</row>
    <row r="300" spans="1:33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</row>
    <row r="301" spans="1:33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</row>
    <row r="302" spans="1:33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</row>
    <row r="303" spans="1:3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</row>
    <row r="304" spans="1:33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</row>
    <row r="305" spans="1:33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</row>
    <row r="306" spans="1:33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</row>
    <row r="307" spans="1:33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</row>
    <row r="308" spans="1:33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</row>
    <row r="309" spans="1:33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</row>
    <row r="310" spans="1:33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</row>
    <row r="311" spans="1:33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</row>
    <row r="312" spans="1:33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</row>
    <row r="313" spans="1:3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</row>
    <row r="314" spans="1:33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</row>
    <row r="315" spans="1:33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</row>
    <row r="316" spans="1:33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</row>
    <row r="317" spans="1:33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</row>
    <row r="318" spans="1:33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</row>
    <row r="319" spans="1:33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</row>
    <row r="320" spans="1:33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</row>
    <row r="321" spans="1:33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</row>
    <row r="322" spans="1:33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</row>
    <row r="323" spans="1:3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</row>
    <row r="324" spans="1:33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</row>
    <row r="325" spans="1:33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</row>
    <row r="326" spans="1:33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</row>
    <row r="327" spans="1:33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</row>
    <row r="328" spans="1:33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</row>
    <row r="329" spans="1:33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</row>
    <row r="330" spans="1:33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</row>
    <row r="331" spans="1:33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</row>
    <row r="332" spans="1:33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</row>
    <row r="333" spans="1: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</row>
    <row r="334" spans="1:33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</row>
    <row r="335" spans="1:33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</row>
    <row r="336" spans="1:33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</row>
    <row r="337" spans="1:33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</row>
    <row r="338" spans="1:33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</row>
    <row r="339" spans="1:33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</row>
    <row r="340" spans="1:33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</row>
    <row r="341" spans="1:33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</row>
    <row r="342" spans="1:33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</row>
    <row r="343" spans="1:3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</row>
    <row r="344" spans="1:33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</row>
    <row r="345" spans="1:33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</row>
    <row r="346" spans="1:33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</row>
    <row r="347" spans="1:33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</row>
    <row r="348" spans="1:33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</row>
    <row r="349" spans="1:33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</row>
    <row r="350" spans="1:33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</row>
    <row r="351" spans="1:33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</row>
    <row r="352" spans="1:33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</row>
    <row r="353" spans="1:3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</row>
    <row r="354" spans="1:33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</row>
    <row r="355" spans="1:33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</row>
    <row r="356" spans="1:33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</row>
    <row r="357" spans="1:33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</row>
    <row r="358" spans="1:33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</row>
    <row r="359" spans="1:33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</row>
    <row r="360" spans="1:33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</row>
    <row r="361" spans="1:33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</row>
    <row r="362" spans="1:33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</row>
    <row r="363" spans="1:3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</row>
    <row r="364" spans="1:33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</row>
    <row r="365" spans="1:33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</row>
    <row r="366" spans="1:33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</row>
    <row r="367" spans="1:33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</row>
    <row r="368" spans="1:33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</row>
    <row r="369" spans="1:33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</row>
    <row r="370" spans="1:33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</row>
    <row r="371" spans="1:33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</row>
    <row r="372" spans="1:33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</row>
    <row r="373" spans="1:3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</row>
    <row r="374" spans="1:33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</row>
    <row r="375" spans="1:33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</row>
    <row r="376" spans="1:33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</row>
    <row r="377" spans="1:33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</row>
    <row r="378" spans="1:33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</row>
    <row r="379" spans="1:33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</row>
    <row r="380" spans="1:33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</row>
    <row r="381" spans="1:33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</row>
    <row r="382" spans="1:33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</row>
    <row r="383" spans="1:3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</row>
    <row r="384" spans="1:33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</row>
    <row r="385" spans="1:33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</row>
    <row r="386" spans="1:33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</row>
    <row r="387" spans="1:33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</row>
    <row r="388" spans="1:33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</row>
    <row r="389" spans="1:33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</row>
    <row r="390" spans="1:33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</row>
    <row r="391" spans="1:33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</row>
    <row r="392" spans="1:33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</row>
    <row r="393" spans="1:3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</row>
    <row r="394" spans="1:33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</row>
    <row r="395" spans="1:33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</row>
    <row r="396" spans="1:33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</row>
    <row r="397" spans="1:33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</row>
    <row r="398" spans="1:33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</row>
    <row r="399" spans="1:33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</row>
    <row r="400" spans="1:33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</row>
    <row r="401" spans="1:33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</row>
    <row r="402" spans="1:33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</row>
    <row r="403" spans="1:3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</row>
    <row r="404" spans="1:33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</row>
    <row r="405" spans="1:33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</row>
    <row r="406" spans="1:33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</row>
    <row r="407" spans="1:33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</row>
    <row r="408" spans="1:33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</row>
    <row r="409" spans="1:33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</row>
    <row r="410" spans="1:33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</row>
    <row r="411" spans="1:33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</row>
    <row r="412" spans="1:33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</row>
    <row r="413" spans="1:3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</row>
    <row r="414" spans="1:33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</row>
    <row r="415" spans="1:33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</row>
    <row r="416" spans="1:33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</row>
    <row r="417" spans="1:33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</row>
    <row r="418" spans="1:33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</row>
    <row r="419" spans="1:33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</row>
    <row r="420" spans="1:33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</row>
    <row r="421" spans="1:33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</row>
    <row r="422" spans="1:33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</row>
    <row r="423" spans="1:3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</row>
    <row r="424" spans="1:33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</row>
    <row r="425" spans="1:33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</row>
    <row r="426" spans="1:33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</row>
    <row r="427" spans="1:33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</row>
    <row r="428" spans="1:33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</row>
    <row r="429" spans="1:33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</row>
    <row r="430" spans="1:33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</row>
    <row r="431" spans="1:33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</row>
    <row r="432" spans="1:33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</row>
    <row r="433" spans="1: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</row>
    <row r="434" spans="1:33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</row>
    <row r="435" spans="1:33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</row>
    <row r="436" spans="1:33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</row>
    <row r="437" spans="1:33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</row>
    <row r="438" spans="1:33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</row>
    <row r="439" spans="1:33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</row>
    <row r="440" spans="1:33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</row>
    <row r="441" spans="1:33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</row>
    <row r="442" spans="1:33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</row>
    <row r="443" spans="1:3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</row>
    <row r="444" spans="1:33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</row>
    <row r="445" spans="1:33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</row>
    <row r="446" spans="1:33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</row>
    <row r="447" spans="1:33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</row>
    <row r="448" spans="1:33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</row>
    <row r="449" spans="1:33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</row>
    <row r="450" spans="1:33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</row>
    <row r="451" spans="1:33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</row>
    <row r="452" spans="1:33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</row>
    <row r="453" spans="1:3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</row>
    <row r="454" spans="1:33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</row>
    <row r="455" spans="1:33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</row>
    <row r="456" spans="1:33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</row>
    <row r="457" spans="1:33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</row>
    <row r="458" spans="1:33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</row>
    <row r="459" spans="1:33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</row>
    <row r="460" spans="1:33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</row>
    <row r="461" spans="1:33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</row>
    <row r="462" spans="1:33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</row>
    <row r="463" spans="1:3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</row>
    <row r="464" spans="1:33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</row>
    <row r="465" spans="1:33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</row>
    <row r="466" spans="1:33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</row>
    <row r="467" spans="1:33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</row>
    <row r="468" spans="1:33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</row>
    <row r="469" spans="1:33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</row>
    <row r="470" spans="1:33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</row>
    <row r="471" spans="1:33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</row>
    <row r="472" spans="1:33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</row>
    <row r="473" spans="1:3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</row>
    <row r="474" spans="1:33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</row>
    <row r="475" spans="1:33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</row>
    <row r="476" spans="1:33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</row>
    <row r="477" spans="1:33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</row>
    <row r="478" spans="1:33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</row>
    <row r="479" spans="1:33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</row>
    <row r="480" spans="1:33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</row>
    <row r="481" spans="1:33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</row>
    <row r="482" spans="1:33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</row>
    <row r="483" spans="1:3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</row>
    <row r="484" spans="1:33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</row>
    <row r="485" spans="1:33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</row>
    <row r="486" spans="1:33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</row>
    <row r="487" spans="1:33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</row>
    <row r="488" spans="1:33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</row>
    <row r="489" spans="1:33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</row>
    <row r="490" spans="1:33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</row>
    <row r="491" spans="1:33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</row>
    <row r="492" spans="1:33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</row>
    <row r="493" spans="1:3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</row>
    <row r="494" spans="1:33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</row>
    <row r="495" spans="1:33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</row>
    <row r="496" spans="1:33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</row>
    <row r="497" spans="1:33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</row>
    <row r="498" spans="1:33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</row>
    <row r="499" spans="1:33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</row>
    <row r="500" spans="1:33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</row>
    <row r="501" spans="1:33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</row>
    <row r="502" spans="1:33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</row>
    <row r="503" spans="1:3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</row>
    <row r="504" spans="1:33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</row>
    <row r="505" spans="1:33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</row>
    <row r="506" spans="1:33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</row>
    <row r="507" spans="1:33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</row>
    <row r="508" spans="1:33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</row>
    <row r="509" spans="1:33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</row>
    <row r="510" spans="1:33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</row>
    <row r="511" spans="1:33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</row>
    <row r="512" spans="1:33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</row>
    <row r="513" spans="1:3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</row>
    <row r="514" spans="1:33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</row>
    <row r="515" spans="1:33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</row>
    <row r="516" spans="1:33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</row>
    <row r="517" spans="1:33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</row>
    <row r="518" spans="1:33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</row>
    <row r="519" spans="1:33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</row>
    <row r="520" spans="1:33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</row>
    <row r="521" spans="1:33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</row>
    <row r="522" spans="1:33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</row>
    <row r="523" spans="1:3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</row>
    <row r="524" spans="1:33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</row>
    <row r="525" spans="1:33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</row>
    <row r="526" spans="1:33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</row>
    <row r="527" spans="1:33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</row>
    <row r="528" spans="1:33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</row>
    <row r="529" spans="1:33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</row>
    <row r="530" spans="1:33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</row>
    <row r="531" spans="1:33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</row>
    <row r="532" spans="1:33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</row>
    <row r="533" spans="1: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</row>
    <row r="534" spans="1:33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</row>
    <row r="535" spans="1:33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</row>
    <row r="536" spans="1:33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</row>
    <row r="537" spans="1:33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</row>
    <row r="538" spans="1:33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</row>
    <row r="539" spans="1:33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</row>
    <row r="540" spans="1:33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</row>
    <row r="541" spans="1:33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</row>
    <row r="542" spans="1:33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</row>
    <row r="543" spans="1:3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</row>
    <row r="544" spans="1:33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</row>
    <row r="545" spans="1:33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</row>
    <row r="546" spans="1:33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</row>
    <row r="547" spans="1:33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</row>
    <row r="548" spans="1:33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</row>
    <row r="549" spans="1:33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</row>
    <row r="550" spans="1:33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</row>
    <row r="551" spans="1:33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</row>
    <row r="552" spans="1:33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</row>
    <row r="553" spans="1:3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</row>
    <row r="554" spans="1:33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</row>
    <row r="555" spans="1:33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</row>
    <row r="556" spans="1:33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</row>
    <row r="557" spans="1:33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</row>
    <row r="558" spans="1:33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</row>
    <row r="559" spans="1:33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</row>
    <row r="560" spans="1:33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</row>
    <row r="561" spans="1:33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</row>
    <row r="562" spans="1:33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</row>
    <row r="563" spans="1:3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</row>
    <row r="564" spans="1:33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</row>
    <row r="565" spans="1:33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</row>
    <row r="566" spans="1:33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</row>
    <row r="567" spans="1:33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</row>
    <row r="568" spans="1:33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</row>
    <row r="569" spans="1:33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</row>
    <row r="570" spans="1:33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</row>
    <row r="571" spans="1:33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</row>
    <row r="572" spans="1:33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</row>
    <row r="573" spans="1:3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</row>
    <row r="574" spans="1:33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</row>
    <row r="575" spans="1:33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</row>
    <row r="576" spans="1:33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</row>
    <row r="577" spans="1:33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</row>
    <row r="578" spans="1:33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</row>
    <row r="579" spans="1:33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</row>
    <row r="580" spans="1:33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</row>
    <row r="581" spans="1:33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</row>
    <row r="582" spans="1:33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</row>
    <row r="583" spans="1:3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</row>
    <row r="584" spans="1:33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</row>
    <row r="585" spans="1:33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</row>
    <row r="586" spans="1:33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</row>
    <row r="587" spans="1:33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</row>
    <row r="588" spans="1:33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</row>
    <row r="589" spans="1:33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</row>
    <row r="590" spans="1:33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</row>
    <row r="591" spans="1:33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</row>
    <row r="592" spans="1:33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</row>
    <row r="593" spans="1:3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</row>
    <row r="594" spans="1:33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</row>
    <row r="595" spans="1:33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</row>
    <row r="596" spans="1:33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</row>
    <row r="597" spans="1:33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</row>
    <row r="598" spans="1:33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</row>
    <row r="599" spans="1:33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</row>
    <row r="600" spans="1:33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</row>
    <row r="601" spans="1:33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</row>
    <row r="602" spans="1:33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</row>
    <row r="603" spans="1:3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</row>
    <row r="604" spans="1:33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</row>
    <row r="605" spans="1:33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</row>
    <row r="606" spans="1:33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</row>
    <row r="607" spans="1:33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</row>
    <row r="608" spans="1:33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</row>
    <row r="609" spans="1:33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</row>
    <row r="610" spans="1:33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</row>
    <row r="611" spans="1:33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</row>
    <row r="612" spans="1:33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</row>
    <row r="613" spans="1:3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</row>
    <row r="614" spans="1:33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</row>
    <row r="615" spans="1:33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</row>
    <row r="616" spans="1:33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</row>
    <row r="617" spans="1:33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</row>
    <row r="618" spans="1:33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</row>
    <row r="619" spans="1:33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</row>
    <row r="620" spans="1:33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</row>
    <row r="621" spans="1:33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</row>
    <row r="622" spans="1:33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</row>
    <row r="623" spans="1:3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</row>
    <row r="624" spans="1:33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</row>
    <row r="625" spans="1:33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</row>
    <row r="626" spans="1:33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</row>
    <row r="627" spans="1:33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</row>
    <row r="628" spans="1:33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</row>
    <row r="629" spans="1:33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</row>
    <row r="630" spans="1:33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</row>
    <row r="631" spans="1:33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</row>
    <row r="632" spans="1:33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</row>
    <row r="633" spans="1: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</row>
    <row r="634" spans="1:33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</row>
    <row r="635" spans="1:33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</row>
    <row r="636" spans="1:33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</row>
    <row r="637" spans="1:33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</row>
    <row r="638" spans="1:33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</row>
    <row r="639" spans="1:33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</row>
    <row r="640" spans="1:33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</row>
    <row r="641" spans="1:33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</row>
    <row r="642" spans="1:33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</row>
    <row r="643" spans="1:3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</row>
    <row r="644" spans="1:33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</row>
    <row r="645" spans="1:33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</row>
    <row r="646" spans="1:33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</row>
    <row r="647" spans="1:33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</row>
    <row r="648" spans="1:33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</row>
    <row r="649" spans="1:33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</row>
    <row r="650" spans="1:33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</row>
    <row r="651" spans="1:33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</row>
    <row r="652" spans="1:33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</row>
    <row r="653" spans="1:3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</row>
    <row r="654" spans="1:33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</row>
    <row r="655" spans="1:33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</row>
    <row r="656" spans="1:33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</row>
    <row r="657" spans="1:33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</row>
    <row r="658" spans="1:33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</row>
    <row r="659" spans="1:33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</row>
    <row r="660" spans="1:33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</row>
    <row r="661" spans="1:33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</row>
    <row r="662" spans="1:33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</row>
    <row r="663" spans="1:3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</row>
    <row r="664" spans="1:33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</row>
    <row r="665" spans="1:33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</row>
    <row r="666" spans="1:33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</row>
    <row r="667" spans="1:33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</row>
    <row r="668" spans="1:33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</row>
    <row r="669" spans="1:33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</row>
    <row r="670" spans="1:33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</row>
    <row r="671" spans="1:33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</row>
    <row r="672" spans="1:33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</row>
    <row r="673" spans="1:3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</row>
    <row r="674" spans="1:33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</row>
    <row r="675" spans="1:33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</row>
    <row r="676" spans="1:33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</row>
    <row r="677" spans="1:33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</row>
    <row r="678" spans="1:33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</row>
    <row r="679" spans="1:33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</row>
    <row r="680" spans="1:33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</row>
    <row r="681" spans="1:33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</row>
    <row r="682" spans="1:33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</row>
    <row r="683" spans="1:3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</row>
    <row r="684" spans="1:33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</row>
    <row r="685" spans="1:33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</row>
    <row r="686" spans="1:33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</row>
    <row r="687" spans="1:33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</row>
    <row r="688" spans="1:33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</row>
    <row r="689" spans="1:33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</row>
    <row r="690" spans="1:33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</row>
    <row r="691" spans="1:33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</row>
    <row r="692" spans="1:33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</row>
    <row r="693" spans="1:3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</row>
    <row r="694" spans="1:33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</row>
    <row r="695" spans="1:33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</row>
    <row r="696" spans="1:33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</row>
    <row r="697" spans="1:33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</row>
    <row r="698" spans="1:33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</row>
    <row r="699" spans="1:33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</row>
    <row r="700" spans="1:33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</row>
    <row r="701" spans="1:33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</row>
    <row r="702" spans="1:33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</row>
    <row r="703" spans="1:3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</row>
    <row r="704" spans="1:33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</row>
    <row r="705" spans="1:33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</row>
    <row r="706" spans="1:33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</row>
    <row r="707" spans="1:33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</row>
    <row r="708" spans="1:33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</row>
    <row r="709" spans="1:33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</row>
    <row r="710" spans="1:33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</row>
    <row r="711" spans="1:33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</row>
    <row r="712" spans="1:33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</row>
    <row r="713" spans="1:3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</row>
    <row r="714" spans="1:33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</row>
    <row r="715" spans="1:33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</row>
    <row r="716" spans="1:33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</row>
    <row r="717" spans="1:33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</row>
    <row r="718" spans="1:33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</row>
    <row r="719" spans="1:33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</row>
    <row r="720" spans="1:33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</row>
    <row r="721" spans="1:33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</row>
    <row r="722" spans="1:33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</row>
    <row r="723" spans="1:3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</row>
    <row r="724" spans="1:33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</row>
    <row r="725" spans="1:33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</row>
    <row r="726" spans="1:33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</row>
    <row r="727" spans="1:33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</row>
    <row r="728" spans="1:33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</row>
    <row r="729" spans="1:33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</row>
    <row r="730" spans="1:33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</row>
    <row r="731" spans="1:33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</row>
    <row r="732" spans="1:33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</row>
    <row r="733" spans="1: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</row>
    <row r="734" spans="1:33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</row>
    <row r="735" spans="1:33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</row>
    <row r="736" spans="1:33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</row>
    <row r="737" spans="1:33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</row>
    <row r="738" spans="1:33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</row>
    <row r="739" spans="1:33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</row>
    <row r="740" spans="1:33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</row>
    <row r="741" spans="1:33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</row>
    <row r="742" spans="1:33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</row>
    <row r="743" spans="1:3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</row>
    <row r="744" spans="1:33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</row>
    <row r="745" spans="1:33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</row>
    <row r="746" spans="1:33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</row>
    <row r="747" spans="1:33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</row>
    <row r="748" spans="1:33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</row>
    <row r="749" spans="1:33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</row>
    <row r="750" spans="1:33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</row>
    <row r="751" spans="1:33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</row>
    <row r="752" spans="1:33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</row>
    <row r="753" spans="1:3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</row>
    <row r="754" spans="1:33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</row>
    <row r="755" spans="1:33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</row>
    <row r="756" spans="1:33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</row>
    <row r="757" spans="1:33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</row>
    <row r="758" spans="1:33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</row>
    <row r="759" spans="1:33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</row>
    <row r="760" spans="1:33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</row>
    <row r="761" spans="1:33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</row>
    <row r="762" spans="1:33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</row>
    <row r="763" spans="1:3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</row>
    <row r="764" spans="1:33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</row>
    <row r="765" spans="1:33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</row>
    <row r="766" spans="1:33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</row>
    <row r="767" spans="1:33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</row>
    <row r="768" spans="1:33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</row>
    <row r="769" spans="1:33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</row>
    <row r="770" spans="1:33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</row>
    <row r="771" spans="1:33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</row>
    <row r="772" spans="1:33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</row>
    <row r="773" spans="1:3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</row>
    <row r="774" spans="1:33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</row>
    <row r="775" spans="1:33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</row>
    <row r="776" spans="1:33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</row>
    <row r="777" spans="1:33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</row>
    <row r="778" spans="1:33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</row>
    <row r="779" spans="1:33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</row>
    <row r="780" spans="1:33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</row>
    <row r="781" spans="1:33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</row>
    <row r="782" spans="1:33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</row>
    <row r="783" spans="1:3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</row>
    <row r="784" spans="1:33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</row>
    <row r="785" spans="1:33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</row>
    <row r="786" spans="1:33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</row>
    <row r="787" spans="1:33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</row>
    <row r="788" spans="1:33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</row>
    <row r="789" spans="1:33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</row>
    <row r="790" spans="1:33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</row>
    <row r="791" spans="1:33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</row>
    <row r="792" spans="1:33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</row>
    <row r="793" spans="1:3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</row>
    <row r="794" spans="1:33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</row>
    <row r="795" spans="1:33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</row>
    <row r="796" spans="1:33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</row>
    <row r="797" spans="1:33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</row>
    <row r="798" spans="1:33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</row>
    <row r="799" spans="1:33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</row>
    <row r="800" spans="1:33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</row>
    <row r="801" spans="1:33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</row>
    <row r="802" spans="1:33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</row>
    <row r="803" spans="1:3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</row>
    <row r="804" spans="1:33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</row>
    <row r="805" spans="1:33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</row>
    <row r="806" spans="1:33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</row>
    <row r="807" spans="1:33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</row>
    <row r="808" spans="1:33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</row>
    <row r="809" spans="1:33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</row>
    <row r="810" spans="1:33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</row>
    <row r="811" spans="1:33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</row>
    <row r="812" spans="1:33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</row>
    <row r="813" spans="1:3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</row>
    <row r="814" spans="1:33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</row>
    <row r="815" spans="1:33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</row>
    <row r="816" spans="1:33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</row>
    <row r="817" spans="1:33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</row>
    <row r="818" spans="1:33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</row>
    <row r="819" spans="1:33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</row>
    <row r="820" spans="1:33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</row>
    <row r="821" spans="1:33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</row>
    <row r="822" spans="1:33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</row>
    <row r="823" spans="1:3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</row>
    <row r="824" spans="1:33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</row>
    <row r="825" spans="1:33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</row>
    <row r="826" spans="1:33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</row>
    <row r="827" spans="1:33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</row>
    <row r="828" spans="1:33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</row>
    <row r="829" spans="1:33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</row>
    <row r="830" spans="1:33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</row>
    <row r="831" spans="1:33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</row>
    <row r="832" spans="1:33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</row>
    <row r="833" spans="1: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</row>
    <row r="834" spans="1:33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</row>
    <row r="835" spans="1:33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</row>
    <row r="836" spans="1:33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</row>
    <row r="837" spans="1:33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</row>
    <row r="838" spans="1:33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</row>
    <row r="839" spans="1:33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</row>
    <row r="840" spans="1:33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</row>
    <row r="841" spans="1:33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4F7B-2C4A-3C4F-A6B7-6C3EA053D536}">
  <dimension ref="A1:P967"/>
  <sheetViews>
    <sheetView zoomScale="170" zoomScaleNormal="170" workbookViewId="0">
      <selection activeCell="E8" sqref="E8"/>
    </sheetView>
  </sheetViews>
  <sheetFormatPr defaultColWidth="14.5" defaultRowHeight="15.75" outlineLevelRow="2"/>
  <cols>
    <col min="1" max="1" width="31.875" bestFit="1" customWidth="1"/>
    <col min="2" max="2" width="8.375" bestFit="1" customWidth="1"/>
    <col min="3" max="3" width="6.5" bestFit="1" customWidth="1"/>
    <col min="4" max="6" width="6.875" bestFit="1" customWidth="1"/>
    <col min="7" max="14" width="7.125" bestFit="1" customWidth="1"/>
    <col min="15" max="15" width="4.5" customWidth="1"/>
    <col min="16" max="16" width="8.625" bestFit="1" customWidth="1"/>
  </cols>
  <sheetData>
    <row r="1" spans="1:16" ht="28.5" customHeight="1">
      <c r="A1" s="88" t="s">
        <v>75</v>
      </c>
      <c r="B1" s="105">
        <v>44927</v>
      </c>
      <c r="C1" s="105">
        <v>44958</v>
      </c>
      <c r="D1" s="105">
        <v>44986</v>
      </c>
      <c r="E1" s="105">
        <v>45017</v>
      </c>
      <c r="F1" s="105">
        <v>45047</v>
      </c>
      <c r="G1" s="105">
        <v>45078</v>
      </c>
      <c r="H1" s="105">
        <v>45108</v>
      </c>
      <c r="I1" s="105">
        <v>45139</v>
      </c>
      <c r="J1" s="105">
        <v>45170</v>
      </c>
      <c r="K1" s="105">
        <v>45200</v>
      </c>
      <c r="L1" s="105">
        <v>45231</v>
      </c>
      <c r="M1" s="105">
        <v>45261</v>
      </c>
      <c r="N1" s="105">
        <v>45292</v>
      </c>
      <c r="O1" s="91"/>
      <c r="P1" s="105" t="s">
        <v>43</v>
      </c>
    </row>
    <row r="2" spans="1:16" ht="13.5" customHeight="1" outlineLevel="2">
      <c r="A2" s="92"/>
      <c r="B2" s="107" t="s">
        <v>76</v>
      </c>
      <c r="C2" s="108" t="s">
        <v>76</v>
      </c>
      <c r="D2" s="108" t="s">
        <v>76</v>
      </c>
      <c r="E2" s="108" t="s">
        <v>76</v>
      </c>
      <c r="F2" s="108" t="s">
        <v>76</v>
      </c>
      <c r="G2" s="108" t="s">
        <v>76</v>
      </c>
      <c r="H2" s="108" t="s">
        <v>76</v>
      </c>
      <c r="I2" s="108" t="s">
        <v>76</v>
      </c>
      <c r="J2" s="108" t="s">
        <v>76</v>
      </c>
      <c r="K2" s="108" t="s">
        <v>76</v>
      </c>
      <c r="L2" s="108" t="s">
        <v>76</v>
      </c>
      <c r="M2" s="108" t="s">
        <v>76</v>
      </c>
      <c r="N2" s="109"/>
      <c r="O2" s="91"/>
      <c r="P2" s="106" t="s">
        <v>76</v>
      </c>
    </row>
    <row r="3" spans="1:16" ht="18" customHeight="1">
      <c r="A3" s="93" t="s">
        <v>77</v>
      </c>
      <c r="B3" s="114">
        <f>SUM(B4:B8)</f>
        <v>10170.799999999999</v>
      </c>
      <c r="C3" s="115">
        <f t="shared" ref="C3:N3" si="0">SUM(C4:C8)</f>
        <v>44101.039999999994</v>
      </c>
      <c r="D3" s="115">
        <f>SUM(D4:D10)</f>
        <v>57515.215999999993</v>
      </c>
      <c r="E3" s="115">
        <f t="shared" ref="E3:M3" si="1">SUM(E4:E10)</f>
        <v>178296.128</v>
      </c>
      <c r="F3" s="115">
        <f t="shared" si="1"/>
        <v>327697.29599999997</v>
      </c>
      <c r="G3" s="115">
        <f t="shared" si="1"/>
        <v>334341.04000000004</v>
      </c>
      <c r="H3" s="115">
        <f t="shared" si="1"/>
        <v>449534.95999999996</v>
      </c>
      <c r="I3" s="115">
        <f t="shared" si="1"/>
        <v>499544.576</v>
      </c>
      <c r="J3" s="115">
        <f t="shared" si="1"/>
        <v>413298.17599999998</v>
      </c>
      <c r="K3" s="115">
        <f t="shared" si="1"/>
        <v>413053.05599999998</v>
      </c>
      <c r="L3" s="115">
        <f t="shared" si="1"/>
        <v>380253.05599999998</v>
      </c>
      <c r="M3" s="115">
        <f t="shared" si="1"/>
        <v>396653.05599999998</v>
      </c>
      <c r="N3" s="116">
        <f t="shared" si="0"/>
        <v>0</v>
      </c>
      <c r="O3" s="91"/>
      <c r="P3" s="122">
        <f>SUM(B3:M3)</f>
        <v>3504458.3999999994</v>
      </c>
    </row>
    <row r="4" spans="1:16" ht="18" customHeight="1" outlineLevel="1">
      <c r="A4" s="94" t="s">
        <v>78</v>
      </c>
      <c r="B4" s="138">
        <f>CUPONI!B3</f>
        <v>10170.799999999999</v>
      </c>
      <c r="C4" s="186">
        <f>CUPONI!C3</f>
        <v>6711.5999999999995</v>
      </c>
      <c r="D4" s="186">
        <f>CUPONI!D3</f>
        <v>3271.2</v>
      </c>
      <c r="E4" s="186">
        <f>CUPONI!E3</f>
        <v>4850.3999999999996</v>
      </c>
      <c r="F4" s="186">
        <f>CUPONI!F3</f>
        <v>10622</v>
      </c>
      <c r="G4" s="186">
        <f>CUPONI!G3</f>
        <v>10622</v>
      </c>
      <c r="H4" s="186">
        <f>CUPONI!H3</f>
        <v>10622</v>
      </c>
      <c r="I4" s="186">
        <f>CUPONI!I3</f>
        <v>4512</v>
      </c>
      <c r="J4" s="186">
        <f>CUPONI!J3</f>
        <v>4512</v>
      </c>
      <c r="K4" s="186">
        <f>CUPONI!K3</f>
        <v>4512</v>
      </c>
      <c r="L4" s="186">
        <f>CUPONI!L3</f>
        <v>4512</v>
      </c>
      <c r="M4" s="186">
        <f>CUPONI!M3</f>
        <v>4512</v>
      </c>
      <c r="N4" s="187"/>
      <c r="O4" s="91"/>
      <c r="P4" s="123">
        <f t="shared" ref="P4:P19" si="2">SUM(B4:N4)</f>
        <v>79430</v>
      </c>
    </row>
    <row r="5" spans="1:16" ht="18" customHeight="1" outlineLevel="1">
      <c r="A5" s="94" t="s">
        <v>79</v>
      </c>
      <c r="B5" s="110">
        <f>MANI!B6</f>
        <v>0</v>
      </c>
      <c r="C5" s="97">
        <f>MANI!C6</f>
        <v>37389.439999999995</v>
      </c>
      <c r="D5" s="97">
        <f>MANI!D6</f>
        <v>46630.015999999996</v>
      </c>
      <c r="E5" s="97">
        <f>MANI!E6</f>
        <v>69920</v>
      </c>
      <c r="F5" s="97">
        <f>MANI!F6</f>
        <v>81907.967999999993</v>
      </c>
      <c r="G5" s="97">
        <f>MANI!G6</f>
        <v>50695.68</v>
      </c>
      <c r="H5" s="97">
        <f>MANI!H6</f>
        <v>32148.480000000003</v>
      </c>
      <c r="I5" s="97">
        <f>MANI!I6</f>
        <v>32148.480000000003</v>
      </c>
      <c r="J5" s="97">
        <f>MANI!J6</f>
        <v>13601.28</v>
      </c>
      <c r="K5" s="97">
        <f>MANI!K6</f>
        <v>0</v>
      </c>
      <c r="L5" s="97">
        <f>MANI!L6</f>
        <v>0</v>
      </c>
      <c r="M5" s="97">
        <f>MANI!M6</f>
        <v>0</v>
      </c>
      <c r="N5" s="111"/>
      <c r="O5" s="91"/>
      <c r="P5" s="96">
        <f t="shared" si="2"/>
        <v>364441.34399999998</v>
      </c>
    </row>
    <row r="6" spans="1:16" ht="18" customHeight="1" outlineLevel="1">
      <c r="A6" s="94" t="s">
        <v>249</v>
      </c>
      <c r="B6" s="110">
        <f>'ANBIMA - REUNE'!B3</f>
        <v>0</v>
      </c>
      <c r="C6" s="97">
        <f>'ANBIMA - REUNE'!C3</f>
        <v>0</v>
      </c>
      <c r="D6" s="97">
        <f>'ANBIMA - REUNE'!D3</f>
        <v>0</v>
      </c>
      <c r="E6" s="97">
        <f>'ANBIMA - REUNE'!E3</f>
        <v>26079.359999999997</v>
      </c>
      <c r="F6" s="97">
        <f>'ANBIMA - REUNE'!F3</f>
        <v>136472.95999999999</v>
      </c>
      <c r="G6" s="97">
        <f>'ANBIMA - REUNE'!G3</f>
        <v>106901.76000000001</v>
      </c>
      <c r="H6" s="97">
        <f>'ANBIMA - REUNE'!H3</f>
        <v>106901.76000000001</v>
      </c>
      <c r="I6" s="97">
        <f>'ANBIMA - REUNE'!I3</f>
        <v>96983.040000000008</v>
      </c>
      <c r="J6" s="97">
        <f>'ANBIMA - REUNE'!J3</f>
        <v>39123.840000000004</v>
      </c>
      <c r="K6" s="97">
        <f>'ANBIMA - REUNE'!K3</f>
        <v>0</v>
      </c>
      <c r="L6" s="97">
        <f>'ANBIMA - REUNE'!L3</f>
        <v>0</v>
      </c>
      <c r="M6" s="97">
        <f>'ANBIMA - REUNE'!M3</f>
        <v>0</v>
      </c>
      <c r="N6" s="111"/>
      <c r="O6" s="91"/>
      <c r="P6" s="96">
        <f>SUM(B6:N6)</f>
        <v>512462.72000000003</v>
      </c>
    </row>
    <row r="7" spans="1:16" ht="18" customHeight="1" outlineLevel="1">
      <c r="A7" s="94" t="s">
        <v>248</v>
      </c>
      <c r="B7" s="110"/>
      <c r="C7" s="97"/>
      <c r="D7" s="97"/>
      <c r="E7" s="97"/>
      <c r="F7" s="97"/>
      <c r="G7" s="97">
        <f>'ANBIMA - Saida de Dados'!G3</f>
        <v>44820</v>
      </c>
      <c r="H7" s="97">
        <f>'ANBIMA - Saida de Dados'!H3</f>
        <v>229464</v>
      </c>
      <c r="I7" s="97">
        <f>'ANBIMA - Saida de Dados'!I3</f>
        <v>301760</v>
      </c>
      <c r="J7" s="97">
        <f>'ANBIMA - Saida de Dados'!J3</f>
        <v>291920</v>
      </c>
      <c r="K7" s="97">
        <f>'ANBIMA - Saida de Dados'!K3</f>
        <v>344400</v>
      </c>
      <c r="L7" s="97">
        <f>'ANBIMA - Saida de Dados'!L3</f>
        <v>311600</v>
      </c>
      <c r="M7" s="97">
        <f>'ANBIMA - Saida de Dados'!M3</f>
        <v>328000</v>
      </c>
      <c r="N7" s="111">
        <f>'ANBIMA - Saida de Dados'!N3</f>
        <v>0</v>
      </c>
      <c r="O7" s="91"/>
      <c r="P7" s="96">
        <f t="shared" ref="P7:P10" si="3">SUM(B7:N7)</f>
        <v>1851964</v>
      </c>
    </row>
    <row r="8" spans="1:16" ht="18" customHeight="1" outlineLevel="1">
      <c r="A8" s="94" t="s">
        <v>80</v>
      </c>
      <c r="B8" s="110">
        <f>CREFISA!B3</f>
        <v>0</v>
      </c>
      <c r="C8" s="97">
        <f>CREFISA!C3</f>
        <v>0</v>
      </c>
      <c r="D8" s="97">
        <f>CREFISA!D3</f>
        <v>0</v>
      </c>
      <c r="E8" s="97">
        <f>CREFISA!E3</f>
        <v>49018.367999999995</v>
      </c>
      <c r="F8" s="97">
        <f>CREFISA!F3</f>
        <v>49018.367999999995</v>
      </c>
      <c r="G8" s="97">
        <f>CREFISA!G3</f>
        <v>72633.600000000006</v>
      </c>
      <c r="H8" s="97">
        <f>CREFISA!H3</f>
        <v>70398.720000000001</v>
      </c>
      <c r="I8" s="97">
        <f>CREFISA!I3</f>
        <v>64141.056000000004</v>
      </c>
      <c r="J8" s="97">
        <f>CREFISA!J3</f>
        <v>64141.056000000004</v>
      </c>
      <c r="K8" s="97">
        <f>CREFISA!K3</f>
        <v>64141.056000000004</v>
      </c>
      <c r="L8" s="97">
        <f>CREFISA!L3</f>
        <v>64141.056000000004</v>
      </c>
      <c r="M8" s="97">
        <f>CREFISA!M3</f>
        <v>64141.056000000004</v>
      </c>
      <c r="N8" s="111"/>
      <c r="O8" s="91"/>
      <c r="P8" s="96">
        <f t="shared" si="3"/>
        <v>561774.33600000001</v>
      </c>
    </row>
    <row r="9" spans="1:16" ht="18" customHeight="1" outlineLevel="1">
      <c r="A9" s="94" t="s">
        <v>234</v>
      </c>
      <c r="B9" s="110"/>
      <c r="C9" s="97"/>
      <c r="D9" s="97"/>
      <c r="E9" s="97"/>
      <c r="F9" s="97">
        <f>'COGNA - KEEGGO'!F3</f>
        <v>47376</v>
      </c>
      <c r="G9" s="97">
        <f>'COGNA - KEEGGO'!G3</f>
        <v>46368</v>
      </c>
      <c r="H9" s="97"/>
      <c r="I9" s="97"/>
      <c r="J9" s="97"/>
      <c r="K9" s="97"/>
      <c r="L9" s="97"/>
      <c r="M9" s="97"/>
      <c r="N9" s="111"/>
      <c r="O9" s="91"/>
      <c r="P9" s="96">
        <f t="shared" si="3"/>
        <v>93744</v>
      </c>
    </row>
    <row r="10" spans="1:16" ht="18" customHeight="1" outlineLevel="1">
      <c r="A10" s="94" t="s">
        <v>81</v>
      </c>
      <c r="B10" s="143"/>
      <c r="C10" s="156"/>
      <c r="D10" s="156">
        <f>LPs!C9</f>
        <v>7614</v>
      </c>
      <c r="E10" s="156">
        <f>LPs!D9</f>
        <v>28428</v>
      </c>
      <c r="F10" s="156">
        <f>LPs!E9</f>
        <v>2300</v>
      </c>
      <c r="G10" s="156">
        <f>LPs!F9</f>
        <v>2300</v>
      </c>
      <c r="H10" s="156">
        <f>LPs!G9</f>
        <v>0</v>
      </c>
      <c r="I10" s="156">
        <f>LPs!H3*(1-LPs!H11)</f>
        <v>0</v>
      </c>
      <c r="J10" s="156">
        <f>LPs!H2*(1-LPs!H11)</f>
        <v>0</v>
      </c>
      <c r="K10" s="156">
        <f>LPs!I31</f>
        <v>0</v>
      </c>
      <c r="L10" s="156">
        <f>LPs!J31</f>
        <v>0</v>
      </c>
      <c r="M10" s="156">
        <f>LPs!K31</f>
        <v>0</v>
      </c>
      <c r="N10" s="145"/>
      <c r="O10" s="91"/>
      <c r="P10" s="96">
        <f t="shared" si="3"/>
        <v>40642</v>
      </c>
    </row>
    <row r="11" spans="1:16">
      <c r="A11" s="98" t="s">
        <v>87</v>
      </c>
      <c r="B11" s="183">
        <f>SUM(B12:B16)</f>
        <v>-13000</v>
      </c>
      <c r="C11" s="184">
        <f t="shared" ref="C11:N11" si="4">SUM(C12:C16)</f>
        <v>-13220</v>
      </c>
      <c r="D11" s="184">
        <f t="shared" si="4"/>
        <v>-14036</v>
      </c>
      <c r="E11" s="184">
        <f t="shared" si="4"/>
        <v>-7284</v>
      </c>
      <c r="F11" s="184">
        <f t="shared" si="4"/>
        <v>-76941</v>
      </c>
      <c r="G11" s="184">
        <f t="shared" si="4"/>
        <v>-88729</v>
      </c>
      <c r="H11" s="184">
        <f t="shared" si="4"/>
        <v>-108442.86142857143</v>
      </c>
      <c r="I11" s="184">
        <f t="shared" si="4"/>
        <v>-195800</v>
      </c>
      <c r="J11" s="184">
        <f t="shared" si="4"/>
        <v>-190396.23</v>
      </c>
      <c r="K11" s="184">
        <f t="shared" si="4"/>
        <v>-188014.28571428571</v>
      </c>
      <c r="L11" s="184">
        <f t="shared" si="4"/>
        <v>-202300</v>
      </c>
      <c r="M11" s="184">
        <f t="shared" si="4"/>
        <v>-202300</v>
      </c>
      <c r="N11" s="185">
        <f t="shared" si="4"/>
        <v>-198300</v>
      </c>
      <c r="O11" s="91"/>
      <c r="P11" s="126">
        <f t="shared" si="2"/>
        <v>-1498763.3771428571</v>
      </c>
    </row>
    <row r="12" spans="1:16" outlineLevel="1">
      <c r="A12" s="94" t="str">
        <f t="shared" ref="A12:A18" si="5">A4</f>
        <v>CUPONI</v>
      </c>
      <c r="B12" s="138">
        <f>CUPONI!B8</f>
        <v>-13000</v>
      </c>
      <c r="C12" s="186">
        <f>CUPONI!C8</f>
        <v>-13220</v>
      </c>
      <c r="D12" s="186">
        <f>CUPONI!D8</f>
        <v>-11036</v>
      </c>
      <c r="E12" s="186">
        <f>CUPONI!E8</f>
        <v>-1184</v>
      </c>
      <c r="F12" s="186">
        <f>CUPONI!F8</f>
        <v>-1560</v>
      </c>
      <c r="G12" s="186">
        <f>CUPONI!G8</f>
        <v>-9300</v>
      </c>
      <c r="H12" s="186">
        <f>CUPONI!H8</f>
        <v>-9300</v>
      </c>
      <c r="I12" s="186">
        <f>CUPONI!I8</f>
        <v>-9300</v>
      </c>
      <c r="J12" s="186">
        <f>CUPONI!J8</f>
        <v>-2800</v>
      </c>
      <c r="K12" s="186">
        <f>CUPONI!K8</f>
        <v>-2800</v>
      </c>
      <c r="L12" s="186">
        <f>CUPONI!L8</f>
        <v>-2800</v>
      </c>
      <c r="M12" s="186">
        <f>CUPONI!M8</f>
        <v>-2800</v>
      </c>
      <c r="N12" s="187">
        <f>CUPONI!N8</f>
        <v>-2800</v>
      </c>
      <c r="O12" s="91"/>
      <c r="P12" s="123">
        <f t="shared" si="2"/>
        <v>-81900</v>
      </c>
    </row>
    <row r="13" spans="1:16" outlineLevel="1">
      <c r="A13" s="94" t="str">
        <f t="shared" si="5"/>
        <v>MANI</v>
      </c>
      <c r="B13" s="110">
        <f>MANI!B11</f>
        <v>0</v>
      </c>
      <c r="C13" s="97">
        <f>MANI!C11</f>
        <v>0</v>
      </c>
      <c r="D13" s="97">
        <f>MANI!D11</f>
        <v>-3000</v>
      </c>
      <c r="E13" s="97">
        <f>MANI!E11</f>
        <v>-3000</v>
      </c>
      <c r="F13" s="97">
        <f>MANI!F11</f>
        <v>-22000</v>
      </c>
      <c r="G13" s="97">
        <f>MANI!G11</f>
        <v>-22000</v>
      </c>
      <c r="H13" s="97">
        <f>MANI!H11</f>
        <v>-7500</v>
      </c>
      <c r="I13" s="97">
        <f>MANI!I11</f>
        <v>0</v>
      </c>
      <c r="J13" s="97">
        <f>MANI!J11</f>
        <v>0</v>
      </c>
      <c r="K13" s="97">
        <f>MANI!K11</f>
        <v>0</v>
      </c>
      <c r="L13" s="97">
        <f>MANI!L11</f>
        <v>0</v>
      </c>
      <c r="M13" s="97">
        <f>MANI!M11</f>
        <v>0</v>
      </c>
      <c r="N13" s="111">
        <f>MANI!N11</f>
        <v>0</v>
      </c>
      <c r="O13" s="91"/>
      <c r="P13" s="96">
        <f t="shared" si="2"/>
        <v>-57500</v>
      </c>
    </row>
    <row r="14" spans="1:16" outlineLevel="1">
      <c r="A14" s="94" t="str">
        <f t="shared" si="5"/>
        <v>ANBIMA REUNE</v>
      </c>
      <c r="B14" s="110">
        <f>'ANBIMA - REUNE'!B8</f>
        <v>0</v>
      </c>
      <c r="C14" s="97">
        <f>'ANBIMA - REUNE'!C8</f>
        <v>0</v>
      </c>
      <c r="D14" s="97">
        <f>'ANBIMA - REUNE'!D8</f>
        <v>0</v>
      </c>
      <c r="E14" s="97">
        <f>'ANBIMA - REUNE'!E8</f>
        <v>0</v>
      </c>
      <c r="F14" s="97">
        <f>'ANBIMA - REUNE'!F8</f>
        <v>-34000</v>
      </c>
      <c r="G14" s="97">
        <f>'ANBIMA - REUNE'!G8</f>
        <v>-34000</v>
      </c>
      <c r="H14" s="97">
        <f>'ANBIMA - REUNE'!H8</f>
        <v>-44000</v>
      </c>
      <c r="I14" s="97">
        <f>'ANBIMA - REUNE'!I8</f>
        <v>-32000</v>
      </c>
      <c r="J14" s="97">
        <f>'ANBIMA - REUNE'!J8</f>
        <v>-13096.23</v>
      </c>
      <c r="K14" s="97">
        <f>'ANBIMA - REUNE'!K8</f>
        <v>0</v>
      </c>
      <c r="L14" s="97">
        <f>'ANBIMA - REUNE'!L8</f>
        <v>0</v>
      </c>
      <c r="M14" s="97">
        <f>'ANBIMA - REUNE'!M8</f>
        <v>0</v>
      </c>
      <c r="N14" s="111">
        <f>'ANBIMA - REUNE'!N8</f>
        <v>0</v>
      </c>
      <c r="O14" s="91"/>
      <c r="P14" s="96">
        <f t="shared" si="2"/>
        <v>-157096.23000000001</v>
      </c>
    </row>
    <row r="15" spans="1:16" outlineLevel="1">
      <c r="A15" s="94" t="str">
        <f t="shared" si="5"/>
        <v>Anbima SAÍDA DE DADOS</v>
      </c>
      <c r="B15" s="110"/>
      <c r="C15" s="97"/>
      <c r="D15" s="97"/>
      <c r="E15" s="97"/>
      <c r="F15" s="97"/>
      <c r="G15" s="97"/>
      <c r="H15" s="97">
        <f>'ANBIMA - Saida de Dados'!H14</f>
        <v>-20928.575714285718</v>
      </c>
      <c r="I15" s="97">
        <f>'ANBIMA - Saida de Dados'!I14</f>
        <v>-124500</v>
      </c>
      <c r="J15" s="97">
        <f>'ANBIMA - Saida de Dados'!J14</f>
        <v>-144500</v>
      </c>
      <c r="K15" s="97">
        <f>'ANBIMA - Saida de Dados'!K14</f>
        <v>-155214.28571428571</v>
      </c>
      <c r="L15" s="97">
        <f>'ANBIMA - Saida de Dados'!L14</f>
        <v>-169500</v>
      </c>
      <c r="M15" s="97">
        <f>'ANBIMA - Saida de Dados'!M14</f>
        <v>-169500</v>
      </c>
      <c r="N15" s="111">
        <f>'ANBIMA - Saida de Dados'!N14</f>
        <v>-169500</v>
      </c>
      <c r="O15" s="91"/>
      <c r="P15" s="96">
        <f t="shared" si="2"/>
        <v>-953642.8614285714</v>
      </c>
    </row>
    <row r="16" spans="1:16" outlineLevel="1">
      <c r="A16" s="94" t="str">
        <f t="shared" si="5"/>
        <v>CREFISA</v>
      </c>
      <c r="B16" s="110">
        <f>CREFISA!B8</f>
        <v>0</v>
      </c>
      <c r="C16" s="97">
        <f>CREFISA!C8</f>
        <v>0</v>
      </c>
      <c r="D16" s="97">
        <f>CREFISA!D8</f>
        <v>0</v>
      </c>
      <c r="E16" s="97">
        <f>CREFISA!E8</f>
        <v>-3100</v>
      </c>
      <c r="F16" s="97">
        <f>CREFISA!F8</f>
        <v>-19381</v>
      </c>
      <c r="G16" s="97">
        <f>CREFISA!G8</f>
        <v>-23429</v>
      </c>
      <c r="H16" s="97">
        <f>CREFISA!H8</f>
        <v>-26714.28571428571</v>
      </c>
      <c r="I16" s="97">
        <f>CREFISA!I8</f>
        <v>-30000</v>
      </c>
      <c r="J16" s="97">
        <f>CREFISA!J8</f>
        <v>-30000</v>
      </c>
      <c r="K16" s="97">
        <f>CREFISA!K8</f>
        <v>-30000</v>
      </c>
      <c r="L16" s="97">
        <f>CREFISA!L8</f>
        <v>-30000</v>
      </c>
      <c r="M16" s="97">
        <f>CREFISA!M8</f>
        <v>-30000</v>
      </c>
      <c r="N16" s="111">
        <f>CREFISA!N8</f>
        <v>-26000</v>
      </c>
      <c r="O16" s="91"/>
      <c r="P16" s="96">
        <f t="shared" si="2"/>
        <v>-248624.28571428571</v>
      </c>
    </row>
    <row r="17" spans="1:16" outlineLevel="1">
      <c r="A17" s="94" t="str">
        <f t="shared" si="5"/>
        <v>COGNA - KEEGGO</v>
      </c>
      <c r="B17" s="110"/>
      <c r="C17" s="97"/>
      <c r="D17" s="97"/>
      <c r="E17" s="97"/>
      <c r="F17" s="97">
        <f>'COGNA - KEEGGO'!F8</f>
        <v>0</v>
      </c>
      <c r="G17" s="97">
        <f>'COGNA - KEEGGO'!G8</f>
        <v>-15000</v>
      </c>
      <c r="H17" s="97"/>
      <c r="I17" s="97"/>
      <c r="J17" s="97"/>
      <c r="K17" s="97"/>
      <c r="L17" s="97"/>
      <c r="M17" s="97"/>
      <c r="N17" s="111"/>
      <c r="O17" s="91"/>
      <c r="P17" s="96">
        <f t="shared" si="2"/>
        <v>-15000</v>
      </c>
    </row>
    <row r="18" spans="1:16" outlineLevel="1">
      <c r="A18" s="94" t="str">
        <f t="shared" si="5"/>
        <v>LPs -Aleph</v>
      </c>
      <c r="B18" s="143"/>
      <c r="C18" s="156"/>
      <c r="D18" s="156">
        <f>LPs!B20</f>
        <v>0</v>
      </c>
      <c r="E18" s="156">
        <f>LPs!C20</f>
        <v>-2500</v>
      </c>
      <c r="F18" s="156">
        <f>LPs!D20</f>
        <v>-1000</v>
      </c>
      <c r="G18" s="156">
        <f>LPs!E20</f>
        <v>-1200</v>
      </c>
      <c r="H18" s="156">
        <f>LPs!F20</f>
        <v>-1200</v>
      </c>
      <c r="I18" s="156">
        <f>LPs!G20-LPs!G32</f>
        <v>0</v>
      </c>
      <c r="J18" s="156">
        <f>LPs!H20-LPs!H32</f>
        <v>0</v>
      </c>
      <c r="K18" s="156">
        <f>LPs!I20</f>
        <v>0</v>
      </c>
      <c r="L18" s="156">
        <f>LPs!J20</f>
        <v>0</v>
      </c>
      <c r="M18" s="156">
        <f>LPs!K20</f>
        <v>0</v>
      </c>
      <c r="N18" s="145"/>
      <c r="O18" s="91"/>
      <c r="P18" s="96">
        <f t="shared" si="2"/>
        <v>-5900</v>
      </c>
    </row>
    <row r="19" spans="1:16" ht="18" customHeight="1">
      <c r="A19" s="93" t="s">
        <v>82</v>
      </c>
      <c r="B19" s="114">
        <f>B3+B11</f>
        <v>-2829.2000000000007</v>
      </c>
      <c r="C19" s="115">
        <f t="shared" ref="C19:N19" si="6">C3+C11</f>
        <v>30881.039999999994</v>
      </c>
      <c r="D19" s="115">
        <f t="shared" si="6"/>
        <v>43479.215999999993</v>
      </c>
      <c r="E19" s="115">
        <f t="shared" si="6"/>
        <v>171012.128</v>
      </c>
      <c r="F19" s="115">
        <f t="shared" si="6"/>
        <v>250756.29599999997</v>
      </c>
      <c r="G19" s="115">
        <f t="shared" si="6"/>
        <v>245612.04000000004</v>
      </c>
      <c r="H19" s="115">
        <f t="shared" si="6"/>
        <v>341092.09857142856</v>
      </c>
      <c r="I19" s="115">
        <f t="shared" si="6"/>
        <v>303744.576</v>
      </c>
      <c r="J19" s="115">
        <f t="shared" si="6"/>
        <v>222901.94599999997</v>
      </c>
      <c r="K19" s="115">
        <f t="shared" si="6"/>
        <v>225038.77028571427</v>
      </c>
      <c r="L19" s="115">
        <f t="shared" si="6"/>
        <v>177953.05599999998</v>
      </c>
      <c r="M19" s="115">
        <f t="shared" si="6"/>
        <v>194353.05599999998</v>
      </c>
      <c r="N19" s="116">
        <f t="shared" si="6"/>
        <v>-198300</v>
      </c>
      <c r="O19" s="91"/>
      <c r="P19" s="122">
        <f t="shared" si="2"/>
        <v>2005695.0228571426</v>
      </c>
    </row>
    <row r="20" spans="1:16" ht="18" customHeight="1">
      <c r="A20" s="99" t="s">
        <v>83</v>
      </c>
      <c r="B20" s="112">
        <f t="shared" ref="B20:N20" si="7">B19/B3</f>
        <v>-0.27816887560467229</v>
      </c>
      <c r="C20" s="113">
        <f t="shared" si="7"/>
        <v>0.70023382668526635</v>
      </c>
      <c r="D20" s="113">
        <f t="shared" si="7"/>
        <v>0.75596023146292279</v>
      </c>
      <c r="E20" s="113">
        <f t="shared" si="7"/>
        <v>0.9591466170258055</v>
      </c>
      <c r="F20" s="113">
        <f t="shared" si="7"/>
        <v>0.76520709527002018</v>
      </c>
      <c r="G20" s="113">
        <f t="shared" si="7"/>
        <v>0.73461528982502422</v>
      </c>
      <c r="H20" s="113">
        <f t="shared" si="7"/>
        <v>0.7587665675021773</v>
      </c>
      <c r="I20" s="113">
        <f t="shared" si="7"/>
        <v>0.60804298673838464</v>
      </c>
      <c r="J20" s="113">
        <f t="shared" si="7"/>
        <v>0.53932477553445568</v>
      </c>
      <c r="K20" s="113">
        <f t="shared" si="7"/>
        <v>0.54481807365132839</v>
      </c>
      <c r="L20" s="113">
        <f t="shared" si="7"/>
        <v>0.46798586675921411</v>
      </c>
      <c r="M20" s="113">
        <f t="shared" si="7"/>
        <v>0.48998249997095694</v>
      </c>
      <c r="N20" s="113" t="e">
        <f t="shared" si="7"/>
        <v>#DIV/0!</v>
      </c>
      <c r="O20" s="100"/>
      <c r="P20" s="188">
        <f>P19/P3</f>
        <v>0.57232667474584464</v>
      </c>
    </row>
    <row r="21" spans="1:16" ht="13.5" customHeight="1">
      <c r="A21" s="102" t="s">
        <v>108</v>
      </c>
      <c r="B21" s="146">
        <f>(B3+SUM('DRE ORLA 2023'!B23:B72))/B3</f>
        <v>-4.6170045620796785</v>
      </c>
      <c r="C21" s="146">
        <f>(C3+SUM('DRE ORLA 2023'!C23:C72))/C3</f>
        <v>-0.26838573421397782</v>
      </c>
      <c r="D21" s="146">
        <f>(D3+SUM('DRE ORLA 2023'!D23:D72))/D3</f>
        <v>-6.9770128308307491E-2</v>
      </c>
      <c r="E21" s="146">
        <f>(E3+SUM('DRE ORLA 2023'!E23:E72))/E3</f>
        <v>0.65614054164990054</v>
      </c>
      <c r="F21" s="146">
        <f>(F3+SUM('DRE ORLA 2023'!F23:F72))/F3</f>
        <v>6.7796915846385378E-2</v>
      </c>
      <c r="G21" s="146">
        <f>(G3+SUM('DRE ORLA 2023'!G23:G72))/G3</f>
        <v>-0.28413990098254127</v>
      </c>
      <c r="H21" s="146">
        <f>(H3+SUM('DRE ORLA 2023'!H23:H72))/H3</f>
        <v>-0.29167385398838463</v>
      </c>
      <c r="I21" s="146">
        <f>(I3+SUM('DRE ORLA 2023'!I23:I72))/I3</f>
        <v>-0.56907072493166233</v>
      </c>
      <c r="J21" s="146">
        <f>(J3+SUM('DRE ORLA 2023'!J23:J72))/J3</f>
        <v>-0.86096323347916248</v>
      </c>
      <c r="K21" s="146">
        <f>(K3+SUM('DRE ORLA 2023'!K23:K72))/K3</f>
        <v>-0.87267377860256556</v>
      </c>
      <c r="L21" s="146">
        <f>(L3+SUM('DRE ORLA 2023'!L23:L72))/L3</f>
        <v>-1.172359582561777</v>
      </c>
      <c r="M21" s="146">
        <f>(M3+SUM('DRE ORLA 2023'!M23:M72))/M3</f>
        <v>-1.0604171016395754</v>
      </c>
      <c r="N21" s="146" t="e">
        <f>(N3+'DRE ORLA 2023'!N84)/N3</f>
        <v>#DIV/0!</v>
      </c>
      <c r="O21" s="91"/>
    </row>
    <row r="22" spans="1:16" ht="13.5" customHeight="1">
      <c r="A22" s="102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</row>
    <row r="23" spans="1:16" ht="13.5" customHeight="1">
      <c r="A23" s="102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</row>
    <row r="24" spans="1:16" ht="13.5" customHeight="1">
      <c r="A24" s="102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</row>
    <row r="25" spans="1:16" ht="13.5" customHeight="1">
      <c r="A25" s="102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</row>
    <row r="26" spans="1:16" ht="13.5" customHeight="1">
      <c r="A26" s="102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6" ht="13.5" customHeight="1">
      <c r="A27" s="102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</row>
    <row r="28" spans="1:16" ht="13.5" customHeight="1">
      <c r="A28" s="102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</row>
    <row r="29" spans="1:16" ht="13.5" customHeight="1">
      <c r="A29" s="10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</row>
    <row r="30" spans="1:16" ht="13.5" customHeight="1">
      <c r="A30" s="102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</row>
    <row r="31" spans="1:16" ht="13.5" customHeight="1">
      <c r="A31" s="102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</row>
    <row r="32" spans="1:16" ht="13.5" customHeight="1">
      <c r="A32" s="102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</row>
    <row r="33" spans="1:15" ht="13.5" customHeight="1">
      <c r="A33" s="102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</row>
    <row r="34" spans="1:15" ht="13.5" customHeight="1">
      <c r="A34" s="102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</row>
    <row r="35" spans="1:15" ht="13.5" customHeight="1">
      <c r="A35" s="102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</row>
    <row r="36" spans="1:15" ht="13.5" customHeight="1">
      <c r="A36" s="102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</row>
    <row r="37" spans="1:15" ht="13.5" customHeight="1">
      <c r="A37" s="102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spans="1:15" ht="13.5" customHeight="1">
      <c r="A38" s="102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</row>
    <row r="39" spans="1:15" ht="13.5" customHeight="1">
      <c r="A39" s="102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</row>
    <row r="40" spans="1:15" ht="13.5" customHeight="1">
      <c r="A40" s="102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</row>
    <row r="41" spans="1:15" ht="13.5" customHeight="1">
      <c r="A41" s="102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</row>
    <row r="42" spans="1:15" ht="13.5" customHeight="1">
      <c r="A42" s="102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</row>
    <row r="43" spans="1:15" ht="13.5" customHeight="1">
      <c r="A43" s="102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</row>
    <row r="44" spans="1:15" ht="13.5" customHeight="1">
      <c r="A44" s="102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</row>
    <row r="45" spans="1:15" ht="13.5" customHeight="1">
      <c r="A45" s="102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</row>
    <row r="46" spans="1:15" ht="13.5" customHeight="1">
      <c r="A46" s="102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</row>
    <row r="47" spans="1:15" ht="13.5" customHeight="1">
      <c r="A47" s="102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</row>
    <row r="48" spans="1:15" ht="13.5" customHeight="1">
      <c r="A48" s="102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</row>
    <row r="49" spans="1:15" ht="13.5" customHeight="1">
      <c r="A49" s="102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spans="1:15" ht="13.5" customHeight="1">
      <c r="A50" s="102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</row>
    <row r="51" spans="1:15" ht="13.5" customHeight="1">
      <c r="A51" s="102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</row>
    <row r="52" spans="1:15" ht="13.5" customHeight="1">
      <c r="A52" s="102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</row>
    <row r="53" spans="1:15" ht="13.5" customHeight="1">
      <c r="A53" s="102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</row>
    <row r="54" spans="1:15" ht="13.5" customHeight="1">
      <c r="A54" s="102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</row>
    <row r="55" spans="1:15" ht="13.5" customHeight="1">
      <c r="A55" s="102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</row>
    <row r="56" spans="1:15" ht="13.5" customHeight="1">
      <c r="A56" s="102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</row>
    <row r="57" spans="1:15" ht="13.5" customHeight="1">
      <c r="A57" s="102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</row>
    <row r="58" spans="1:15" ht="13.5" customHeight="1">
      <c r="A58" s="102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</row>
    <row r="59" spans="1:15" ht="13.5" customHeight="1">
      <c r="A59" s="102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</row>
    <row r="60" spans="1:15" ht="13.5" customHeight="1">
      <c r="A60" s="102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</row>
    <row r="61" spans="1:15" ht="13.5" customHeight="1">
      <c r="A61" s="102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</row>
    <row r="62" spans="1:15" ht="13.5" customHeight="1">
      <c r="A62" s="102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</row>
    <row r="63" spans="1:15" ht="13.5" customHeight="1">
      <c r="A63" s="102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</row>
    <row r="64" spans="1:15" ht="13.5" customHeight="1">
      <c r="A64" s="102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</row>
    <row r="65" spans="1:15" ht="13.5" customHeight="1">
      <c r="A65" s="102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</row>
    <row r="66" spans="1:15" ht="13.5" customHeight="1">
      <c r="A66" s="102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</row>
    <row r="67" spans="1:15" ht="13.5" customHeight="1">
      <c r="A67" s="102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</row>
    <row r="68" spans="1:15" ht="13.5" customHeight="1">
      <c r="A68" s="102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</row>
    <row r="69" spans="1:15" ht="13.5" customHeight="1">
      <c r="A69" s="102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</row>
    <row r="70" spans="1:15" ht="13.5" customHeight="1">
      <c r="A70" s="102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</row>
    <row r="71" spans="1:15" ht="13.5" customHeight="1">
      <c r="A71" s="102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</row>
    <row r="72" spans="1:15" ht="13.5" customHeight="1">
      <c r="A72" s="102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</row>
    <row r="73" spans="1:15" ht="13.5" customHeight="1">
      <c r="A73" s="102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</row>
    <row r="74" spans="1:15" ht="13.5" customHeight="1">
      <c r="A74" s="102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</row>
    <row r="75" spans="1:15" ht="13.5" customHeight="1">
      <c r="A75" s="102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</row>
    <row r="76" spans="1:15" ht="13.5" customHeight="1">
      <c r="A76" s="102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</row>
    <row r="77" spans="1:15" ht="13.5" customHeight="1">
      <c r="A77" s="102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</row>
    <row r="78" spans="1:15" ht="13.5" customHeight="1">
      <c r="A78" s="102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</row>
    <row r="79" spans="1:15" ht="13.5" customHeight="1">
      <c r="A79" s="102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</row>
    <row r="80" spans="1:15" ht="13.5" customHeight="1">
      <c r="A80" s="102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3.5" customHeight="1">
      <c r="A81" s="102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</row>
    <row r="82" spans="1:15" ht="13.5" customHeight="1">
      <c r="A82" s="102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</row>
    <row r="83" spans="1:15" ht="13.5" customHeight="1">
      <c r="A83" s="102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</row>
    <row r="84" spans="1:15" ht="13.5" customHeight="1">
      <c r="A84" s="102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</row>
    <row r="85" spans="1:15" ht="13.5" customHeight="1">
      <c r="A85" s="102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</row>
    <row r="86" spans="1:15" ht="13.5" customHeight="1">
      <c r="A86" s="102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</row>
    <row r="87" spans="1:15" ht="13.5" customHeight="1">
      <c r="A87" s="102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</row>
    <row r="88" spans="1:15" ht="13.5" customHeight="1">
      <c r="A88" s="102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</row>
    <row r="89" spans="1:15" ht="13.5" customHeight="1">
      <c r="A89" s="102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</row>
    <row r="90" spans="1:15" ht="13.5" customHeight="1">
      <c r="A90" s="102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</row>
    <row r="91" spans="1:15" ht="13.5" customHeight="1">
      <c r="A91" s="102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</row>
    <row r="92" spans="1:15" ht="13.5" customHeight="1">
      <c r="A92" s="102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</row>
    <row r="93" spans="1:15" ht="13.5" customHeight="1">
      <c r="A93" s="102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</row>
    <row r="94" spans="1:15" ht="13.5" customHeight="1">
      <c r="A94" s="102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</row>
    <row r="95" spans="1:15" ht="13.5" customHeight="1">
      <c r="A95" s="102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</row>
    <row r="96" spans="1:15" ht="13.5" customHeight="1">
      <c r="A96" s="102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</row>
    <row r="97" spans="1:15" ht="13.5" customHeight="1">
      <c r="A97" s="102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</row>
    <row r="98" spans="1:15" ht="13.5" customHeight="1">
      <c r="A98" s="102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</row>
    <row r="99" spans="1:15" ht="13.5" customHeight="1">
      <c r="A99" s="102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</row>
    <row r="100" spans="1:15" ht="13.5" customHeight="1">
      <c r="A100" s="102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</row>
    <row r="101" spans="1:15" ht="13.5" customHeight="1">
      <c r="A101" s="102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</row>
    <row r="102" spans="1:15" ht="13.5" customHeight="1">
      <c r="A102" s="102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</row>
    <row r="103" spans="1:15" ht="13.5" customHeight="1">
      <c r="A103" s="102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</row>
    <row r="104" spans="1:15" ht="13.5" customHeight="1">
      <c r="A104" s="102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</row>
    <row r="105" spans="1:15" ht="13.5" customHeight="1">
      <c r="A105" s="102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</row>
    <row r="106" spans="1:15" ht="13.5" customHeight="1">
      <c r="A106" s="102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</row>
    <row r="107" spans="1:15" ht="13.5" customHeight="1">
      <c r="A107" s="102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</row>
    <row r="108" spans="1:15" ht="13.5" customHeight="1">
      <c r="A108" s="102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</row>
    <row r="109" spans="1:15" ht="13.5" customHeight="1">
      <c r="A109" s="102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</row>
    <row r="110" spans="1:15" ht="13.5" customHeight="1">
      <c r="A110" s="102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</row>
    <row r="111" spans="1:15" ht="13.5" customHeight="1">
      <c r="A111" s="102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</row>
    <row r="112" spans="1:15" ht="13.5" customHeight="1">
      <c r="A112" s="102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</row>
    <row r="113" spans="1:15" ht="13.5" customHeight="1">
      <c r="A113" s="102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</row>
    <row r="114" spans="1:15" ht="13.5" customHeight="1">
      <c r="A114" s="102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</row>
    <row r="115" spans="1:15" ht="13.5" customHeight="1">
      <c r="A115" s="102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</row>
    <row r="116" spans="1:15" ht="13.5" customHeight="1">
      <c r="A116" s="102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</row>
    <row r="117" spans="1:15" ht="13.5" customHeight="1">
      <c r="A117" s="102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</row>
    <row r="118" spans="1:15" ht="13.5" customHeight="1">
      <c r="A118" s="102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</row>
    <row r="119" spans="1:15" ht="13.5" customHeight="1">
      <c r="A119" s="102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</row>
    <row r="120" spans="1:15" ht="13.5" customHeight="1">
      <c r="A120" s="102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</row>
    <row r="121" spans="1:15" ht="13.5" customHeight="1">
      <c r="A121" s="102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</row>
    <row r="122" spans="1:15" ht="13.5" customHeight="1">
      <c r="A122" s="102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</row>
    <row r="123" spans="1:15" ht="13.5" customHeight="1">
      <c r="A123" s="102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</row>
    <row r="124" spans="1:15" ht="13.5" customHeight="1">
      <c r="A124" s="102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</row>
    <row r="125" spans="1:15" ht="13.5" customHeight="1">
      <c r="A125" s="102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</row>
    <row r="126" spans="1:15" ht="13.5" customHeight="1">
      <c r="A126" s="102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</row>
    <row r="127" spans="1:15" ht="13.5" customHeight="1">
      <c r="A127" s="102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</row>
    <row r="128" spans="1:15" ht="13.5" customHeight="1">
      <c r="A128" s="102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</row>
    <row r="129" spans="1:15" ht="13.5" customHeight="1">
      <c r="A129" s="102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</row>
    <row r="130" spans="1:15" ht="13.5" customHeight="1">
      <c r="A130" s="102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</row>
    <row r="131" spans="1:15" ht="13.5" customHeight="1">
      <c r="A131" s="102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</row>
    <row r="132" spans="1:15" ht="13.5" customHeight="1">
      <c r="A132" s="102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</row>
    <row r="133" spans="1:15" ht="13.5" customHeight="1">
      <c r="A133" s="102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</row>
    <row r="134" spans="1:15" ht="13.5" customHeight="1">
      <c r="A134" s="102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 ht="13.5" customHeight="1">
      <c r="A135" s="102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</row>
    <row r="136" spans="1:15" ht="13.5" customHeight="1">
      <c r="A136" s="102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</row>
    <row r="137" spans="1:15" ht="13.5" customHeight="1">
      <c r="A137" s="102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</row>
    <row r="138" spans="1:15" ht="13.5" customHeight="1">
      <c r="A138" s="102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</row>
    <row r="139" spans="1:15" ht="13.5" customHeight="1">
      <c r="A139" s="102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</row>
    <row r="140" spans="1:15" ht="13.5" customHeight="1">
      <c r="A140" s="102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</row>
    <row r="141" spans="1:15" ht="13.5" customHeight="1">
      <c r="A141" s="102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</row>
    <row r="142" spans="1:15" ht="13.5" customHeight="1">
      <c r="A142" s="102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</row>
    <row r="143" spans="1:15" ht="13.5" customHeight="1">
      <c r="A143" s="102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</row>
    <row r="144" spans="1:15" ht="13.5" customHeight="1">
      <c r="A144" s="102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</row>
    <row r="145" spans="1:15" ht="13.5" customHeight="1">
      <c r="A145" s="102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</row>
    <row r="146" spans="1:15" ht="13.5" customHeight="1">
      <c r="A146" s="102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</row>
    <row r="147" spans="1:15" ht="13.5" customHeight="1">
      <c r="A147" s="102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</row>
    <row r="148" spans="1:15" ht="13.5" customHeight="1">
      <c r="A148" s="102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</row>
    <row r="149" spans="1:15" ht="13.5" customHeight="1">
      <c r="A149" s="102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</row>
    <row r="150" spans="1:15" ht="13.5" customHeight="1">
      <c r="A150" s="102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</row>
    <row r="151" spans="1:15" ht="13.5" customHeight="1">
      <c r="A151" s="102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</row>
    <row r="152" spans="1:15" ht="13.5" customHeight="1">
      <c r="A152" s="102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</row>
    <row r="153" spans="1:15" ht="13.5" customHeight="1">
      <c r="A153" s="102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</row>
    <row r="154" spans="1:15" ht="13.5" customHeight="1">
      <c r="A154" s="102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5" ht="13.5" customHeight="1">
      <c r="A155" s="102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</row>
    <row r="156" spans="1:15" ht="13.5" customHeight="1">
      <c r="A156" s="102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</row>
    <row r="157" spans="1:15" ht="13.5" customHeight="1">
      <c r="A157" s="102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</row>
    <row r="158" spans="1:15" ht="13.5" customHeight="1">
      <c r="A158" s="102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</row>
    <row r="159" spans="1:15" ht="13.5" customHeight="1">
      <c r="A159" s="102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</row>
    <row r="160" spans="1:15" ht="13.5" customHeight="1">
      <c r="A160" s="102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</row>
    <row r="161" spans="1:15" ht="13.5" customHeight="1">
      <c r="A161" s="102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</row>
    <row r="162" spans="1:15" ht="13.5" customHeight="1">
      <c r="A162" s="102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</row>
    <row r="163" spans="1:15" ht="13.5" customHeight="1">
      <c r="A163" s="102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</row>
    <row r="164" spans="1:15" ht="13.5" customHeight="1">
      <c r="A164" s="102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</row>
    <row r="165" spans="1:15" ht="13.5" customHeight="1">
      <c r="A165" s="102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</row>
    <row r="166" spans="1:15" ht="13.5" customHeight="1">
      <c r="A166" s="102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</row>
    <row r="167" spans="1:15" ht="13.5" customHeight="1">
      <c r="A167" s="102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</row>
    <row r="168" spans="1:15" ht="13.5" customHeight="1">
      <c r="A168" s="102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</row>
    <row r="169" spans="1:15" ht="13.5" customHeight="1">
      <c r="A169" s="102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</row>
    <row r="170" spans="1:15" ht="13.5" customHeight="1">
      <c r="A170" s="102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</row>
    <row r="171" spans="1:15" ht="13.5" customHeight="1">
      <c r="A171" s="102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</row>
    <row r="172" spans="1:15" ht="13.5" customHeight="1">
      <c r="A172" s="102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</row>
    <row r="173" spans="1:15" ht="13.5" customHeight="1">
      <c r="A173" s="102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</row>
    <row r="174" spans="1:15" ht="13.5" customHeight="1">
      <c r="A174" s="102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</row>
    <row r="175" spans="1:15" ht="13.5" customHeight="1">
      <c r="A175" s="102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</row>
    <row r="176" spans="1:15" ht="13.5" customHeight="1">
      <c r="A176" s="102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</row>
    <row r="177" spans="1:15" ht="13.5" customHeight="1">
      <c r="A177" s="102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</row>
    <row r="178" spans="1:15" ht="13.5" customHeight="1">
      <c r="A178" s="102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</row>
    <row r="179" spans="1:15" ht="13.5" customHeight="1">
      <c r="A179" s="102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</row>
    <row r="180" spans="1:15" ht="13.5" customHeight="1">
      <c r="A180" s="102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</row>
    <row r="181" spans="1:15" ht="13.5" customHeight="1">
      <c r="A181" s="102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</row>
    <row r="182" spans="1:15" ht="13.5" customHeight="1">
      <c r="A182" s="102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</row>
    <row r="183" spans="1:15" ht="13.5" customHeight="1">
      <c r="A183" s="102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</row>
    <row r="184" spans="1:15" ht="13.5" customHeight="1">
      <c r="A184" s="102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</row>
    <row r="185" spans="1:15" ht="13.5" customHeight="1">
      <c r="A185" s="102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</row>
    <row r="186" spans="1:15" ht="13.5" customHeight="1">
      <c r="A186" s="102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</row>
    <row r="187" spans="1:15" ht="13.5" customHeight="1">
      <c r="A187" s="102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</row>
    <row r="188" spans="1:15" ht="13.5" customHeight="1">
      <c r="A188" s="102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</row>
    <row r="189" spans="1:15" ht="13.5" customHeight="1">
      <c r="A189" s="102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</row>
    <row r="190" spans="1:15" ht="13.5" customHeight="1">
      <c r="A190" s="102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</row>
    <row r="191" spans="1:15" ht="13.5" customHeight="1">
      <c r="A191" s="102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</row>
    <row r="192" spans="1:15" ht="13.5" customHeight="1">
      <c r="A192" s="102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</row>
    <row r="193" spans="1:15" ht="13.5" customHeight="1">
      <c r="A193" s="102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</row>
    <row r="194" spans="1:15" ht="13.5" customHeight="1">
      <c r="A194" s="102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</row>
    <row r="195" spans="1:15" ht="13.5" customHeight="1">
      <c r="A195" s="102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</row>
    <row r="196" spans="1:15" ht="13.5" customHeight="1">
      <c r="A196" s="102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</row>
    <row r="197" spans="1:15" ht="13.5" customHeight="1">
      <c r="A197" s="102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</row>
    <row r="198" spans="1:15" ht="13.5" customHeight="1">
      <c r="A198" s="102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</row>
    <row r="199" spans="1:15" ht="13.5" customHeight="1">
      <c r="A199" s="102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</row>
    <row r="200" spans="1:15" ht="13.5" customHeight="1">
      <c r="A200" s="102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</row>
    <row r="201" spans="1:15" ht="13.5" customHeight="1">
      <c r="A201" s="102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</row>
    <row r="202" spans="1:15" ht="13.5" customHeight="1">
      <c r="A202" s="102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</row>
    <row r="203" spans="1:15" ht="13.5" customHeight="1">
      <c r="A203" s="102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</row>
    <row r="204" spans="1:15" ht="13.5" customHeight="1">
      <c r="A204" s="102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</row>
    <row r="205" spans="1:15" ht="13.5" customHeight="1">
      <c r="A205" s="102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</row>
    <row r="206" spans="1:15" ht="13.5" customHeight="1">
      <c r="A206" s="102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</row>
    <row r="207" spans="1:15" ht="13.5" customHeight="1">
      <c r="A207" s="102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</row>
    <row r="208" spans="1:15" ht="13.5" customHeight="1">
      <c r="A208" s="102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5" ht="13.5" customHeight="1">
      <c r="A209" s="102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</row>
    <row r="210" spans="1:15" ht="13.5" customHeight="1">
      <c r="A210" s="102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</row>
    <row r="211" spans="1:15" ht="13.5" customHeight="1">
      <c r="A211" s="102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</row>
    <row r="212" spans="1:15" ht="13.5" customHeight="1">
      <c r="A212" s="102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</row>
    <row r="213" spans="1:15" ht="13.5" customHeight="1">
      <c r="A213" s="102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</row>
    <row r="214" spans="1:15" ht="13.5" customHeight="1">
      <c r="A214" s="102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</row>
    <row r="215" spans="1:15" ht="13.5" customHeight="1">
      <c r="A215" s="102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</row>
    <row r="216" spans="1:15" ht="13.5" customHeight="1">
      <c r="A216" s="102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</row>
    <row r="217" spans="1:15" ht="13.5" customHeight="1">
      <c r="A217" s="102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</row>
    <row r="218" spans="1:15" ht="13.5" customHeight="1">
      <c r="A218" s="102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</row>
    <row r="219" spans="1:15" ht="13.5" customHeight="1">
      <c r="A219" s="102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</row>
    <row r="220" spans="1:15" ht="13.5" customHeight="1">
      <c r="A220" s="102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</row>
    <row r="221" spans="1:15" ht="13.5" customHeight="1">
      <c r="A221" s="102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</row>
    <row r="222" spans="1:15" ht="13.5" customHeight="1">
      <c r="A222" s="102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</row>
    <row r="223" spans="1:15" ht="13.5" customHeight="1">
      <c r="A223" s="102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</row>
    <row r="224" spans="1:15" ht="13.5" customHeight="1">
      <c r="A224" s="102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</row>
    <row r="225" spans="1:15" ht="13.5" customHeight="1">
      <c r="A225" s="102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</row>
    <row r="226" spans="1:15" ht="13.5" customHeight="1">
      <c r="A226" s="102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</row>
    <row r="227" spans="1:15" ht="13.5" customHeight="1">
      <c r="A227" s="102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</row>
    <row r="228" spans="1:15" ht="13.5" customHeight="1">
      <c r="A228" s="102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3.5" customHeight="1">
      <c r="A229" s="102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</row>
    <row r="230" spans="1:15" ht="13.5" customHeight="1">
      <c r="A230" s="102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</row>
    <row r="231" spans="1:15" ht="13.5" customHeight="1">
      <c r="A231" s="102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</row>
    <row r="232" spans="1:15" ht="13.5" customHeight="1">
      <c r="A232" s="102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</row>
    <row r="233" spans="1:15" ht="13.5" customHeight="1">
      <c r="A233" s="102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</row>
    <row r="234" spans="1:15" ht="13.5" customHeight="1">
      <c r="A234" s="102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</row>
    <row r="235" spans="1:15" ht="13.5" customHeight="1">
      <c r="A235" s="102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</row>
    <row r="236" spans="1:15" ht="13.5" customHeight="1">
      <c r="A236" s="102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</row>
    <row r="237" spans="1:15" ht="13.5" customHeight="1">
      <c r="A237" s="102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</row>
    <row r="238" spans="1:15" ht="13.5" customHeight="1">
      <c r="A238" s="102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</row>
    <row r="239" spans="1:15" ht="13.5" customHeight="1">
      <c r="A239" s="102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</row>
    <row r="240" spans="1:15" ht="13.5" customHeight="1">
      <c r="A240" s="102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</row>
    <row r="241" spans="1:15" ht="13.5" customHeight="1">
      <c r="A241" s="102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</row>
    <row r="242" spans="1:15" ht="13.5" customHeight="1">
      <c r="A242" s="102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</row>
    <row r="243" spans="1:15" ht="13.5" customHeight="1">
      <c r="A243" s="102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</row>
    <row r="244" spans="1:15" ht="13.5" customHeight="1">
      <c r="A244" s="102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</row>
    <row r="245" spans="1:15" ht="13.5" customHeight="1">
      <c r="A245" s="102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</row>
    <row r="246" spans="1:15" ht="13.5" customHeight="1">
      <c r="A246" s="102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</row>
    <row r="247" spans="1:15" ht="13.5" customHeight="1">
      <c r="A247" s="102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</row>
    <row r="248" spans="1:15" ht="13.5" customHeight="1">
      <c r="A248" s="102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</row>
    <row r="249" spans="1:15" ht="13.5" customHeight="1">
      <c r="A249" s="102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</row>
    <row r="250" spans="1:15" ht="13.5" customHeight="1">
      <c r="A250" s="102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</row>
    <row r="251" spans="1:15" ht="13.5" customHeight="1">
      <c r="A251" s="102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</row>
    <row r="252" spans="1:15" ht="13.5" customHeight="1">
      <c r="A252" s="102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</row>
    <row r="253" spans="1:15" ht="13.5" customHeight="1">
      <c r="A253" s="102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</row>
    <row r="254" spans="1:15" ht="13.5" customHeight="1">
      <c r="A254" s="102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</row>
    <row r="255" spans="1:15" ht="13.5" customHeight="1">
      <c r="A255" s="102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</row>
    <row r="256" spans="1:15" ht="13.5" customHeight="1">
      <c r="A256" s="102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</row>
    <row r="257" spans="1:15" ht="13.5" customHeight="1">
      <c r="A257" s="102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</row>
    <row r="258" spans="1:15" ht="13.5" customHeight="1">
      <c r="A258" s="102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</row>
    <row r="259" spans="1:15" ht="13.5" customHeight="1">
      <c r="A259" s="102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</row>
    <row r="260" spans="1:15" ht="13.5" customHeight="1">
      <c r="A260" s="102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</row>
    <row r="261" spans="1:15" ht="13.5" customHeight="1">
      <c r="A261" s="102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</row>
    <row r="262" spans="1:15" ht="13.5" customHeight="1">
      <c r="A262" s="102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</row>
    <row r="263" spans="1:15" ht="13.5" customHeight="1">
      <c r="A263" s="102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</row>
    <row r="264" spans="1:15" ht="13.5" customHeight="1">
      <c r="A264" s="102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</row>
    <row r="265" spans="1:15" ht="13.5" customHeight="1">
      <c r="A265" s="102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</row>
    <row r="266" spans="1:15" ht="13.5" customHeight="1">
      <c r="A266" s="102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</row>
    <row r="267" spans="1:15" ht="13.5" customHeight="1">
      <c r="A267" s="102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</row>
    <row r="268" spans="1:15" ht="13.5" customHeight="1">
      <c r="A268" s="102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</row>
    <row r="269" spans="1:15" ht="13.5" customHeight="1">
      <c r="A269" s="102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</row>
    <row r="270" spans="1:15" ht="13.5" customHeight="1">
      <c r="A270" s="102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</row>
    <row r="271" spans="1:15" ht="13.5" customHeight="1">
      <c r="A271" s="102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</row>
    <row r="272" spans="1:15" ht="13.5" customHeight="1">
      <c r="A272" s="102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</row>
    <row r="273" spans="1:15" ht="13.5" customHeight="1">
      <c r="A273" s="102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</row>
    <row r="274" spans="1:15" ht="13.5" customHeight="1">
      <c r="A274" s="102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</row>
    <row r="275" spans="1:15" ht="13.5" customHeight="1">
      <c r="A275" s="102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</row>
    <row r="276" spans="1:15" ht="13.5" customHeight="1">
      <c r="A276" s="102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</row>
    <row r="277" spans="1:15" ht="13.5" customHeight="1">
      <c r="A277" s="102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</row>
    <row r="278" spans="1:15" ht="13.5" customHeight="1">
      <c r="A278" s="102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</row>
    <row r="279" spans="1:15" ht="13.5" customHeight="1">
      <c r="A279" s="102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</row>
    <row r="280" spans="1:15" ht="13.5" customHeight="1">
      <c r="A280" s="102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</row>
    <row r="281" spans="1:15" ht="13.5" customHeight="1">
      <c r="A281" s="102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</row>
    <row r="282" spans="1:15" ht="13.5" customHeight="1">
      <c r="A282" s="102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 ht="13.5" customHeight="1">
      <c r="A283" s="102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</row>
    <row r="284" spans="1:15" ht="13.5" customHeight="1">
      <c r="A284" s="102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</row>
    <row r="285" spans="1:15" ht="13.5" customHeight="1">
      <c r="A285" s="102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</row>
    <row r="286" spans="1:15" ht="13.5" customHeight="1">
      <c r="A286" s="102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</row>
    <row r="287" spans="1:15" ht="13.5" customHeight="1">
      <c r="A287" s="102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</row>
    <row r="288" spans="1:15" ht="13.5" customHeight="1">
      <c r="A288" s="102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</row>
    <row r="289" spans="1:15" ht="13.5" customHeight="1">
      <c r="A289" s="102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</row>
    <row r="290" spans="1:15" ht="13.5" customHeight="1">
      <c r="A290" s="102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</row>
    <row r="291" spans="1:15" ht="13.5" customHeight="1">
      <c r="A291" s="102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</row>
    <row r="292" spans="1:15" ht="13.5" customHeight="1">
      <c r="A292" s="102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</row>
    <row r="293" spans="1:15" ht="13.5" customHeight="1">
      <c r="A293" s="102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</row>
    <row r="294" spans="1:15" ht="13.5" customHeight="1">
      <c r="A294" s="102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</row>
    <row r="295" spans="1:15" ht="13.5" customHeight="1">
      <c r="A295" s="102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</row>
    <row r="296" spans="1:15" ht="13.5" customHeight="1">
      <c r="A296" s="102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</row>
    <row r="297" spans="1:15" ht="13.5" customHeight="1">
      <c r="A297" s="102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</row>
    <row r="298" spans="1:15" ht="13.5" customHeight="1">
      <c r="A298" s="102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</row>
    <row r="299" spans="1:15" ht="13.5" customHeight="1">
      <c r="A299" s="102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</row>
    <row r="300" spans="1:15" ht="13.5" customHeight="1">
      <c r="A300" s="102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</row>
    <row r="301" spans="1:15" ht="13.5" customHeight="1">
      <c r="A301" s="102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</row>
    <row r="302" spans="1:15" ht="13.5" customHeight="1">
      <c r="A302" s="102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5" ht="13.5" customHeight="1">
      <c r="A303" s="102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</row>
    <row r="304" spans="1:15" ht="13.5" customHeight="1">
      <c r="A304" s="102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</row>
    <row r="305" spans="1:15" ht="13.5" customHeight="1">
      <c r="A305" s="102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</row>
    <row r="306" spans="1:15" ht="13.5" customHeight="1">
      <c r="A306" s="102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</row>
    <row r="307" spans="1:15" ht="13.5" customHeight="1">
      <c r="A307" s="102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</row>
    <row r="308" spans="1:15" ht="13.5" customHeight="1">
      <c r="A308" s="102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</row>
    <row r="309" spans="1:15" ht="13.5" customHeight="1">
      <c r="A309" s="102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</row>
    <row r="310" spans="1:15" ht="13.5" customHeight="1">
      <c r="A310" s="102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</row>
    <row r="311" spans="1:15" ht="13.5" customHeight="1">
      <c r="A311" s="102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</row>
    <row r="312" spans="1:15" ht="13.5" customHeight="1">
      <c r="A312" s="102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</row>
    <row r="313" spans="1:15" ht="13.5" customHeight="1">
      <c r="A313" s="102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</row>
    <row r="314" spans="1:15" ht="13.5" customHeight="1">
      <c r="A314" s="102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</row>
    <row r="315" spans="1:15" ht="13.5" customHeight="1">
      <c r="A315" s="102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</row>
    <row r="316" spans="1:15" ht="13.5" customHeight="1">
      <c r="A316" s="102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</row>
    <row r="317" spans="1:15" ht="13.5" customHeight="1">
      <c r="A317" s="102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</row>
    <row r="318" spans="1:15" ht="13.5" customHeight="1">
      <c r="A318" s="102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</row>
    <row r="319" spans="1:15" ht="13.5" customHeight="1">
      <c r="A319" s="102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</row>
    <row r="320" spans="1:15" ht="13.5" customHeight="1">
      <c r="A320" s="102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</row>
    <row r="321" spans="1:15" ht="13.5" customHeight="1">
      <c r="A321" s="102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</row>
    <row r="322" spans="1:15" ht="13.5" customHeight="1">
      <c r="A322" s="102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</row>
    <row r="323" spans="1:15" ht="13.5" customHeight="1">
      <c r="A323" s="102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</row>
    <row r="324" spans="1:15" ht="13.5" customHeight="1">
      <c r="A324" s="102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</row>
    <row r="325" spans="1:15" ht="13.5" customHeight="1">
      <c r="A325" s="102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</row>
    <row r="326" spans="1:15" ht="13.5" customHeight="1">
      <c r="A326" s="102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</row>
    <row r="327" spans="1:15" ht="13.5" customHeight="1">
      <c r="A327" s="102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</row>
    <row r="328" spans="1:15" ht="13.5" customHeight="1">
      <c r="A328" s="102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</row>
    <row r="329" spans="1:15" ht="13.5" customHeight="1">
      <c r="A329" s="102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</row>
    <row r="330" spans="1:15" ht="13.5" customHeight="1">
      <c r="A330" s="102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</row>
    <row r="331" spans="1:15" ht="13.5" customHeight="1">
      <c r="A331" s="102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</row>
    <row r="332" spans="1:15" ht="13.5" customHeight="1">
      <c r="A332" s="102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</row>
    <row r="333" spans="1:15" ht="13.5" customHeight="1">
      <c r="A333" s="102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</row>
    <row r="334" spans="1:15" ht="13.5" customHeight="1">
      <c r="A334" s="102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</row>
    <row r="335" spans="1:15" ht="13.5" customHeight="1">
      <c r="A335" s="102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</row>
    <row r="336" spans="1:15" ht="13.5" customHeight="1">
      <c r="A336" s="102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</row>
    <row r="337" spans="1:15" ht="13.5" customHeight="1">
      <c r="A337" s="102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</row>
    <row r="338" spans="1:15" ht="13.5" customHeight="1">
      <c r="A338" s="102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</row>
    <row r="339" spans="1:15" ht="13.5" customHeight="1">
      <c r="A339" s="102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</row>
    <row r="340" spans="1:15" ht="13.5" customHeight="1">
      <c r="A340" s="102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</row>
    <row r="341" spans="1:15" ht="13.5" customHeight="1">
      <c r="A341" s="102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</row>
    <row r="342" spans="1:15" ht="13.5" customHeight="1">
      <c r="A342" s="102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</row>
    <row r="343" spans="1:15" ht="13.5" customHeight="1">
      <c r="A343" s="102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</row>
    <row r="344" spans="1:15" ht="13.5" customHeight="1">
      <c r="A344" s="102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</row>
    <row r="345" spans="1:15" ht="13.5" customHeight="1">
      <c r="A345" s="102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</row>
    <row r="346" spans="1:15" ht="13.5" customHeight="1">
      <c r="A346" s="102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</row>
    <row r="347" spans="1:15" ht="13.5" customHeight="1">
      <c r="A347" s="102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</row>
    <row r="348" spans="1:15" ht="13.5" customHeight="1">
      <c r="A348" s="102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</row>
    <row r="349" spans="1:15" ht="13.5" customHeight="1">
      <c r="A349" s="102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</row>
    <row r="350" spans="1:15" ht="13.5" customHeight="1">
      <c r="A350" s="102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</row>
    <row r="351" spans="1:15" ht="13.5" customHeight="1">
      <c r="A351" s="102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</row>
    <row r="352" spans="1:15" ht="13.5" customHeight="1">
      <c r="A352" s="102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</row>
    <row r="353" spans="1:15" ht="13.5" customHeight="1">
      <c r="A353" s="102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</row>
    <row r="354" spans="1:15" ht="13.5" customHeight="1">
      <c r="A354" s="102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</row>
    <row r="355" spans="1:15" ht="13.5" customHeight="1">
      <c r="A355" s="102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</row>
    <row r="356" spans="1:15" ht="13.5" customHeight="1">
      <c r="A356" s="102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</row>
    <row r="357" spans="1:15" ht="13.5" customHeight="1">
      <c r="A357" s="102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</row>
    <row r="358" spans="1:15" ht="13.5" customHeight="1">
      <c r="A358" s="102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</row>
    <row r="359" spans="1:15" ht="13.5" customHeight="1">
      <c r="A359" s="102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</row>
    <row r="360" spans="1:15" ht="13.5" customHeight="1">
      <c r="A360" s="102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</row>
    <row r="361" spans="1:15" ht="13.5" customHeight="1">
      <c r="A361" s="102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</row>
    <row r="362" spans="1:15" ht="13.5" customHeight="1">
      <c r="A362" s="102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</row>
    <row r="363" spans="1:15" ht="13.5" customHeight="1">
      <c r="A363" s="102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</row>
    <row r="364" spans="1:15" ht="13.5" customHeight="1">
      <c r="A364" s="102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</row>
    <row r="365" spans="1:15" ht="13.5" customHeight="1">
      <c r="A365" s="102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</row>
    <row r="366" spans="1:15" ht="13.5" customHeight="1">
      <c r="A366" s="102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</row>
    <row r="367" spans="1:15" ht="13.5" customHeight="1">
      <c r="A367" s="102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</row>
    <row r="368" spans="1:15" ht="13.5" customHeight="1">
      <c r="A368" s="102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</row>
    <row r="369" spans="1:15" ht="13.5" customHeight="1">
      <c r="A369" s="102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</row>
    <row r="370" spans="1:15" ht="13.5" customHeight="1">
      <c r="A370" s="102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</row>
    <row r="371" spans="1:15" ht="13.5" customHeight="1">
      <c r="A371" s="102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</row>
    <row r="372" spans="1:15" ht="13.5" customHeight="1">
      <c r="A372" s="102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</row>
    <row r="373" spans="1:15" ht="13.5" customHeight="1">
      <c r="A373" s="102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</row>
    <row r="374" spans="1:15" ht="13.5" customHeight="1">
      <c r="A374" s="102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</row>
    <row r="375" spans="1:15" ht="13.5" customHeight="1">
      <c r="A375" s="102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</row>
    <row r="376" spans="1:15" ht="13.5" customHeight="1">
      <c r="A376" s="102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</row>
    <row r="377" spans="1:15" ht="13.5" customHeight="1">
      <c r="A377" s="102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</row>
    <row r="378" spans="1:15" ht="13.5" customHeight="1">
      <c r="A378" s="102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</row>
    <row r="379" spans="1:15" ht="13.5" customHeight="1">
      <c r="A379" s="102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</row>
    <row r="380" spans="1:15" ht="13.5" customHeight="1">
      <c r="A380" s="102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</row>
    <row r="381" spans="1:15" ht="13.5" customHeight="1">
      <c r="A381" s="102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</row>
    <row r="382" spans="1:15" ht="13.5" customHeight="1">
      <c r="A382" s="102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</row>
    <row r="383" spans="1:15" ht="13.5" customHeight="1">
      <c r="A383" s="102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</row>
    <row r="384" spans="1:15" ht="13.5" customHeight="1">
      <c r="A384" s="102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</row>
    <row r="385" spans="1:15" ht="13.5" customHeight="1">
      <c r="A385" s="102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</row>
    <row r="386" spans="1:15" ht="13.5" customHeight="1">
      <c r="A386" s="102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</row>
    <row r="387" spans="1:15" ht="13.5" customHeight="1">
      <c r="A387" s="102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</row>
    <row r="388" spans="1:15" ht="13.5" customHeight="1">
      <c r="A388" s="102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</row>
    <row r="389" spans="1:15" ht="13.5" customHeight="1">
      <c r="A389" s="102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</row>
    <row r="390" spans="1:15" ht="13.5" customHeight="1">
      <c r="A390" s="102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</row>
    <row r="391" spans="1:15" ht="13.5" customHeight="1">
      <c r="A391" s="102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</row>
    <row r="392" spans="1:15" ht="13.5" customHeight="1">
      <c r="A392" s="102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</row>
    <row r="393" spans="1:15" ht="13.5" customHeight="1">
      <c r="A393" s="102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</row>
    <row r="394" spans="1:15" ht="13.5" customHeight="1">
      <c r="A394" s="102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</row>
    <row r="395" spans="1:15" ht="13.5" customHeight="1">
      <c r="A395" s="102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</row>
    <row r="396" spans="1:15" ht="13.5" customHeight="1">
      <c r="A396" s="102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</row>
    <row r="397" spans="1:15" ht="13.5" customHeight="1">
      <c r="A397" s="102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</row>
    <row r="398" spans="1:15" ht="13.5" customHeight="1">
      <c r="A398" s="102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</row>
    <row r="399" spans="1:15" ht="13.5" customHeight="1">
      <c r="A399" s="102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</row>
    <row r="400" spans="1:15" ht="13.5" customHeight="1">
      <c r="A400" s="102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</row>
    <row r="401" spans="1:15" ht="13.5" customHeight="1">
      <c r="A401" s="102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</row>
    <row r="402" spans="1:15" ht="13.5" customHeight="1">
      <c r="A402" s="102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</row>
    <row r="403" spans="1:15" ht="13.5" customHeight="1">
      <c r="A403" s="102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</row>
    <row r="404" spans="1:15" ht="13.5" customHeight="1">
      <c r="A404" s="102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</row>
    <row r="405" spans="1:15" ht="13.5" customHeight="1">
      <c r="A405" s="102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</row>
    <row r="406" spans="1:15" ht="13.5" customHeight="1">
      <c r="A406" s="102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</row>
    <row r="407" spans="1:15" ht="13.5" customHeight="1">
      <c r="A407" s="102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</row>
    <row r="408" spans="1:15" ht="13.5" customHeight="1">
      <c r="A408" s="102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</row>
    <row r="409" spans="1:15" ht="13.5" customHeight="1">
      <c r="A409" s="102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</row>
    <row r="410" spans="1:15" ht="13.5" customHeight="1">
      <c r="A410" s="102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</row>
    <row r="411" spans="1:15" ht="13.5" customHeight="1">
      <c r="A411" s="102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</row>
    <row r="412" spans="1:15" ht="13.5" customHeight="1">
      <c r="A412" s="102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</row>
    <row r="413" spans="1:15" ht="13.5" customHeight="1">
      <c r="A413" s="102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</row>
    <row r="414" spans="1:15" ht="13.5" customHeight="1">
      <c r="A414" s="102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</row>
    <row r="415" spans="1:15" ht="13.5" customHeight="1">
      <c r="A415" s="102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</row>
    <row r="416" spans="1:15" ht="13.5" customHeight="1">
      <c r="A416" s="102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</row>
    <row r="417" spans="1:15" ht="13.5" customHeight="1">
      <c r="A417" s="102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</row>
    <row r="418" spans="1:15" ht="13.5" customHeight="1">
      <c r="A418" s="102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</row>
    <row r="419" spans="1:15" ht="13.5" customHeight="1">
      <c r="A419" s="102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</row>
    <row r="420" spans="1:15" ht="13.5" customHeight="1">
      <c r="A420" s="102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</row>
    <row r="421" spans="1:15" ht="13.5" customHeight="1">
      <c r="A421" s="102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</row>
    <row r="422" spans="1:15" ht="13.5" customHeight="1">
      <c r="A422" s="102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</row>
    <row r="423" spans="1:15" ht="13.5" customHeight="1">
      <c r="A423" s="102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</row>
    <row r="424" spans="1:15" ht="13.5" customHeight="1">
      <c r="A424" s="102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</row>
    <row r="425" spans="1:15" ht="13.5" customHeight="1">
      <c r="A425" s="102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</row>
    <row r="426" spans="1:15" ht="13.5" customHeight="1">
      <c r="A426" s="102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</row>
    <row r="427" spans="1:15" ht="13.5" customHeight="1">
      <c r="A427" s="102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</row>
    <row r="428" spans="1:15" ht="13.5" customHeight="1">
      <c r="A428" s="102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</row>
    <row r="429" spans="1:15" ht="13.5" customHeight="1">
      <c r="A429" s="102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</row>
    <row r="430" spans="1:15" ht="13.5" customHeight="1">
      <c r="A430" s="102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</row>
    <row r="431" spans="1:15" ht="13.5" customHeight="1">
      <c r="A431" s="102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</row>
    <row r="432" spans="1:15" ht="13.5" customHeight="1">
      <c r="A432" s="102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</row>
    <row r="433" spans="1:15" ht="13.5" customHeight="1">
      <c r="A433" s="102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</row>
    <row r="434" spans="1:15" ht="13.5" customHeight="1">
      <c r="A434" s="102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</row>
    <row r="435" spans="1:15" ht="13.5" customHeight="1">
      <c r="A435" s="102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</row>
    <row r="436" spans="1:15" ht="13.5" customHeight="1">
      <c r="A436" s="102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</row>
    <row r="437" spans="1:15" ht="13.5" customHeight="1">
      <c r="A437" s="102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</row>
    <row r="438" spans="1:15" ht="13.5" customHeight="1">
      <c r="A438" s="102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</row>
    <row r="439" spans="1:15" ht="13.5" customHeight="1">
      <c r="A439" s="102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</row>
    <row r="440" spans="1:15" ht="13.5" customHeight="1">
      <c r="A440" s="102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</row>
    <row r="441" spans="1:15" ht="13.5" customHeight="1">
      <c r="A441" s="102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</row>
    <row r="442" spans="1:15" ht="13.5" customHeight="1">
      <c r="A442" s="102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</row>
    <row r="443" spans="1:15" ht="13.5" customHeight="1">
      <c r="A443" s="102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</row>
    <row r="444" spans="1:15" ht="13.5" customHeight="1">
      <c r="A444" s="102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</row>
    <row r="445" spans="1:15" ht="13.5" customHeight="1">
      <c r="A445" s="102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</row>
    <row r="446" spans="1:15" ht="13.5" customHeight="1">
      <c r="A446" s="102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</row>
    <row r="447" spans="1:15" ht="13.5" customHeight="1">
      <c r="A447" s="102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</row>
    <row r="448" spans="1:15" ht="13.5" customHeight="1">
      <c r="A448" s="102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</row>
    <row r="449" spans="1:15" ht="13.5" customHeight="1">
      <c r="A449" s="102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</row>
    <row r="450" spans="1:15" ht="13.5" customHeight="1">
      <c r="A450" s="102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</row>
    <row r="451" spans="1:15" ht="13.5" customHeight="1">
      <c r="A451" s="102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</row>
    <row r="452" spans="1:15" ht="13.5" customHeight="1">
      <c r="A452" s="102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</row>
    <row r="453" spans="1:15" ht="13.5" customHeight="1">
      <c r="A453" s="102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</row>
    <row r="454" spans="1:15" ht="13.5" customHeight="1">
      <c r="A454" s="102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</row>
    <row r="455" spans="1:15" ht="13.5" customHeight="1">
      <c r="A455" s="102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</row>
    <row r="456" spans="1:15" ht="13.5" customHeight="1">
      <c r="A456" s="102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</row>
    <row r="457" spans="1:15" ht="13.5" customHeight="1">
      <c r="A457" s="102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</row>
    <row r="458" spans="1:15" ht="13.5" customHeight="1">
      <c r="A458" s="102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</row>
    <row r="459" spans="1:15" ht="13.5" customHeight="1">
      <c r="A459" s="102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</row>
    <row r="460" spans="1:15" ht="13.5" customHeight="1">
      <c r="A460" s="102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</row>
    <row r="461" spans="1:15" ht="13.5" customHeight="1">
      <c r="A461" s="102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</row>
    <row r="462" spans="1:15" ht="13.5" customHeight="1">
      <c r="A462" s="102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</row>
    <row r="463" spans="1:15" ht="13.5" customHeight="1">
      <c r="A463" s="102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</row>
    <row r="464" spans="1:15" ht="13.5" customHeight="1">
      <c r="A464" s="102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</row>
    <row r="465" spans="1:15" ht="13.5" customHeight="1">
      <c r="A465" s="102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</row>
    <row r="466" spans="1:15" ht="13.5" customHeight="1">
      <c r="A466" s="102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</row>
    <row r="467" spans="1:15" ht="13.5" customHeight="1">
      <c r="A467" s="102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</row>
    <row r="468" spans="1:15" ht="13.5" customHeight="1">
      <c r="A468" s="102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</row>
    <row r="469" spans="1:15" ht="13.5" customHeight="1">
      <c r="A469" s="102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</row>
    <row r="470" spans="1:15" ht="13.5" customHeight="1">
      <c r="A470" s="102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</row>
    <row r="471" spans="1:15" ht="13.5" customHeight="1">
      <c r="A471" s="102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</row>
    <row r="472" spans="1:15" ht="13.5" customHeight="1">
      <c r="A472" s="102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</row>
    <row r="473" spans="1:15" ht="13.5" customHeight="1">
      <c r="A473" s="102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</row>
    <row r="474" spans="1:15" ht="13.5" customHeight="1">
      <c r="A474" s="102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</row>
    <row r="475" spans="1:15" ht="13.5" customHeight="1">
      <c r="A475" s="102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</row>
    <row r="476" spans="1:15" ht="13.5" customHeight="1">
      <c r="A476" s="102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</row>
    <row r="477" spans="1:15" ht="13.5" customHeight="1">
      <c r="A477" s="102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</row>
    <row r="478" spans="1:15" ht="13.5" customHeight="1">
      <c r="A478" s="102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</row>
    <row r="479" spans="1:15" ht="13.5" customHeight="1">
      <c r="A479" s="102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</row>
    <row r="480" spans="1:15" ht="13.5" customHeight="1">
      <c r="A480" s="102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</row>
    <row r="481" spans="1:15" ht="13.5" customHeight="1">
      <c r="A481" s="102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</row>
    <row r="482" spans="1:15" ht="13.5" customHeight="1">
      <c r="A482" s="102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</row>
    <row r="483" spans="1:15" ht="13.5" customHeight="1">
      <c r="A483" s="102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</row>
    <row r="484" spans="1:15" ht="13.5" customHeight="1">
      <c r="A484" s="102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</row>
    <row r="485" spans="1:15" ht="13.5" customHeight="1">
      <c r="A485" s="102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</row>
    <row r="486" spans="1:15" ht="13.5" customHeight="1">
      <c r="A486" s="102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</row>
    <row r="487" spans="1:15" ht="13.5" customHeight="1">
      <c r="A487" s="102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</row>
    <row r="488" spans="1:15" ht="13.5" customHeight="1">
      <c r="A488" s="102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</row>
    <row r="489" spans="1:15" ht="13.5" customHeight="1">
      <c r="A489" s="102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</row>
    <row r="490" spans="1:15" ht="13.5" customHeight="1">
      <c r="A490" s="102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</row>
    <row r="491" spans="1:15" ht="13.5" customHeight="1">
      <c r="A491" s="102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</row>
    <row r="492" spans="1:15" ht="13.5" customHeight="1">
      <c r="A492" s="102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</row>
    <row r="493" spans="1:15" ht="13.5" customHeight="1">
      <c r="A493" s="102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</row>
    <row r="494" spans="1:15" ht="13.5" customHeight="1">
      <c r="A494" s="102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</row>
    <row r="495" spans="1:15" ht="13.5" customHeight="1">
      <c r="A495" s="102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</row>
    <row r="496" spans="1:15" ht="13.5" customHeight="1">
      <c r="A496" s="102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</row>
    <row r="497" spans="1:15" ht="13.5" customHeight="1">
      <c r="A497" s="102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</row>
    <row r="498" spans="1:15" ht="13.5" customHeight="1">
      <c r="A498" s="102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</row>
    <row r="499" spans="1:15" ht="13.5" customHeight="1">
      <c r="A499" s="102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</row>
    <row r="500" spans="1:15" ht="13.5" customHeight="1">
      <c r="A500" s="102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</row>
    <row r="501" spans="1:15" ht="13.5" customHeight="1">
      <c r="A501" s="102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</row>
    <row r="502" spans="1:15" ht="13.5" customHeight="1">
      <c r="A502" s="102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</row>
    <row r="503" spans="1:15" ht="13.5" customHeight="1">
      <c r="A503" s="102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</row>
    <row r="504" spans="1:15" ht="13.5" customHeight="1">
      <c r="A504" s="102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</row>
    <row r="505" spans="1:15" ht="13.5" customHeight="1">
      <c r="A505" s="102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</row>
    <row r="506" spans="1:15" ht="13.5" customHeight="1">
      <c r="A506" s="102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</row>
    <row r="507" spans="1:15" ht="13.5" customHeight="1">
      <c r="A507" s="102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</row>
    <row r="508" spans="1:15" ht="13.5" customHeight="1">
      <c r="A508" s="102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</row>
    <row r="509" spans="1:15" ht="13.5" customHeight="1">
      <c r="A509" s="102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</row>
    <row r="510" spans="1:15" ht="13.5" customHeight="1">
      <c r="A510" s="102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</row>
    <row r="511" spans="1:15" ht="13.5" customHeight="1">
      <c r="A511" s="102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</row>
    <row r="512" spans="1:15" ht="13.5" customHeight="1">
      <c r="A512" s="102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</row>
    <row r="513" spans="1:15" ht="13.5" customHeight="1">
      <c r="A513" s="102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</row>
    <row r="514" spans="1:15" ht="13.5" customHeight="1">
      <c r="A514" s="102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</row>
    <row r="515" spans="1:15" ht="13.5" customHeight="1">
      <c r="A515" s="102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</row>
    <row r="516" spans="1:15" ht="13.5" customHeight="1">
      <c r="A516" s="102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</row>
    <row r="517" spans="1:15" ht="13.5" customHeight="1">
      <c r="A517" s="102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</row>
    <row r="518" spans="1:15" ht="13.5" customHeight="1">
      <c r="A518" s="102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</row>
    <row r="519" spans="1:15" ht="13.5" customHeight="1">
      <c r="A519" s="102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</row>
    <row r="520" spans="1:15" ht="13.5" customHeight="1">
      <c r="A520" s="102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</row>
    <row r="521" spans="1:15" ht="13.5" customHeight="1">
      <c r="A521" s="102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</row>
    <row r="522" spans="1:15" ht="13.5" customHeight="1">
      <c r="A522" s="102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</row>
    <row r="523" spans="1:15" ht="13.5" customHeight="1">
      <c r="A523" s="102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</row>
    <row r="524" spans="1:15" ht="13.5" customHeight="1">
      <c r="A524" s="102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</row>
    <row r="525" spans="1:15" ht="13.5" customHeight="1">
      <c r="A525" s="102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</row>
    <row r="526" spans="1:15" ht="13.5" customHeight="1">
      <c r="A526" s="102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</row>
    <row r="527" spans="1:15" ht="13.5" customHeight="1">
      <c r="A527" s="102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</row>
    <row r="528" spans="1:15" ht="13.5" customHeight="1">
      <c r="A528" s="102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</row>
    <row r="529" spans="1:15" ht="13.5" customHeight="1">
      <c r="A529" s="102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</row>
    <row r="530" spans="1:15" ht="13.5" customHeight="1">
      <c r="A530" s="102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</row>
    <row r="531" spans="1:15" ht="13.5" customHeight="1">
      <c r="A531" s="102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</row>
    <row r="532" spans="1:15" ht="13.5" customHeight="1">
      <c r="A532" s="102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</row>
    <row r="533" spans="1:15" ht="13.5" customHeight="1">
      <c r="A533" s="102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</row>
    <row r="534" spans="1:15" ht="13.5" customHeight="1">
      <c r="A534" s="102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</row>
    <row r="535" spans="1:15" ht="13.5" customHeight="1">
      <c r="A535" s="102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</row>
    <row r="536" spans="1:15" ht="13.5" customHeight="1">
      <c r="A536" s="102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</row>
    <row r="537" spans="1:15" ht="13.5" customHeight="1">
      <c r="A537" s="102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</row>
    <row r="538" spans="1:15" ht="13.5" customHeight="1">
      <c r="A538" s="102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</row>
    <row r="539" spans="1:15" ht="13.5" customHeight="1">
      <c r="A539" s="102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</row>
    <row r="540" spans="1:15" ht="13.5" customHeight="1">
      <c r="A540" s="102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</row>
    <row r="541" spans="1:15" ht="13.5" customHeight="1">
      <c r="A541" s="102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</row>
    <row r="542" spans="1:15" ht="13.5" customHeight="1">
      <c r="A542" s="102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</row>
    <row r="543" spans="1:15" ht="13.5" customHeight="1">
      <c r="A543" s="102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</row>
    <row r="544" spans="1:15" ht="13.5" customHeight="1">
      <c r="A544" s="102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</row>
    <row r="545" spans="1:15" ht="13.5" customHeight="1">
      <c r="A545" s="102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</row>
    <row r="546" spans="1:15" ht="13.5" customHeight="1">
      <c r="A546" s="102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</row>
    <row r="547" spans="1:15" ht="13.5" customHeight="1">
      <c r="A547" s="102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</row>
    <row r="548" spans="1:15" ht="13.5" customHeight="1">
      <c r="A548" s="102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</row>
    <row r="549" spans="1:15" ht="13.5" customHeight="1">
      <c r="A549" s="102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</row>
    <row r="550" spans="1:15" ht="13.5" customHeight="1">
      <c r="A550" s="102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</row>
    <row r="551" spans="1:15" ht="13.5" customHeight="1">
      <c r="A551" s="102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</row>
    <row r="552" spans="1:15" ht="13.5" customHeight="1">
      <c r="A552" s="102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</row>
    <row r="553" spans="1:15" ht="13.5" customHeight="1">
      <c r="A553" s="102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</row>
    <row r="554" spans="1:15" ht="13.5" customHeight="1">
      <c r="A554" s="102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</row>
    <row r="555" spans="1:15" ht="13.5" customHeight="1">
      <c r="A555" s="102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</row>
    <row r="556" spans="1:15" ht="13.5" customHeight="1">
      <c r="A556" s="102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</row>
    <row r="557" spans="1:15" ht="13.5" customHeight="1">
      <c r="A557" s="102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</row>
    <row r="558" spans="1:15" ht="13.5" customHeight="1">
      <c r="A558" s="102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</row>
    <row r="559" spans="1:15" ht="13.5" customHeight="1">
      <c r="A559" s="102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</row>
    <row r="560" spans="1:15" ht="13.5" customHeight="1">
      <c r="A560" s="102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</row>
    <row r="561" spans="1:15" ht="13.5" customHeight="1">
      <c r="A561" s="102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</row>
    <row r="562" spans="1:15" ht="13.5" customHeight="1">
      <c r="A562" s="102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</row>
    <row r="563" spans="1:15" ht="13.5" customHeight="1">
      <c r="A563" s="102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</row>
    <row r="564" spans="1:15" ht="13.5" customHeight="1">
      <c r="A564" s="102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</row>
    <row r="565" spans="1:15" ht="13.5" customHeight="1">
      <c r="A565" s="102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</row>
    <row r="566" spans="1:15" ht="13.5" customHeight="1">
      <c r="A566" s="102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</row>
    <row r="567" spans="1:15" ht="13.5" customHeight="1">
      <c r="A567" s="102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</row>
    <row r="568" spans="1:15" ht="13.5" customHeight="1">
      <c r="A568" s="102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</row>
    <row r="569" spans="1:15" ht="13.5" customHeight="1">
      <c r="A569" s="102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</row>
    <row r="570" spans="1:15" ht="13.5" customHeight="1">
      <c r="A570" s="102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</row>
    <row r="571" spans="1:15" ht="13.5" customHeight="1">
      <c r="A571" s="102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</row>
    <row r="572" spans="1:15" ht="13.5" customHeight="1">
      <c r="A572" s="102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</row>
    <row r="573" spans="1:15" ht="13.5" customHeight="1">
      <c r="A573" s="102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</row>
    <row r="574" spans="1:15" ht="13.5" customHeight="1">
      <c r="A574" s="102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</row>
    <row r="575" spans="1:15" ht="13.5" customHeight="1">
      <c r="A575" s="102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</row>
    <row r="576" spans="1:15" ht="13.5" customHeight="1">
      <c r="A576" s="102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</row>
    <row r="577" spans="1:15" ht="13.5" customHeight="1">
      <c r="A577" s="102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</row>
    <row r="578" spans="1:15" ht="13.5" customHeight="1">
      <c r="A578" s="102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</row>
    <row r="579" spans="1:15" ht="13.5" customHeight="1">
      <c r="A579" s="102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</row>
    <row r="580" spans="1:15" ht="13.5" customHeight="1">
      <c r="A580" s="102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</row>
    <row r="581" spans="1:15" ht="13.5" customHeight="1">
      <c r="A581" s="102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</row>
    <row r="582" spans="1:15" ht="13.5" customHeight="1">
      <c r="A582" s="102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</row>
    <row r="583" spans="1:15" ht="13.5" customHeight="1">
      <c r="A583" s="102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</row>
    <row r="584" spans="1:15" ht="13.5" customHeight="1">
      <c r="A584" s="102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</row>
    <row r="585" spans="1:15" ht="13.5" customHeight="1">
      <c r="A585" s="102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</row>
    <row r="586" spans="1:15" ht="13.5" customHeight="1">
      <c r="A586" s="102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</row>
    <row r="587" spans="1:15" ht="13.5" customHeight="1">
      <c r="A587" s="102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</row>
    <row r="588" spans="1:15" ht="13.5" customHeight="1">
      <c r="A588" s="102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</row>
    <row r="589" spans="1:15" ht="13.5" customHeight="1">
      <c r="A589" s="102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</row>
    <row r="590" spans="1:15" ht="13.5" customHeight="1">
      <c r="A590" s="102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</row>
    <row r="591" spans="1:15" ht="13.5" customHeight="1">
      <c r="A591" s="102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</row>
    <row r="592" spans="1:15" ht="13.5" customHeight="1">
      <c r="A592" s="102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</row>
    <row r="593" spans="1:15" ht="13.5" customHeight="1">
      <c r="A593" s="102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</row>
    <row r="594" spans="1:15" ht="13.5" customHeight="1">
      <c r="A594" s="102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</row>
    <row r="595" spans="1:15" ht="13.5" customHeight="1">
      <c r="A595" s="102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</row>
    <row r="596" spans="1:15" ht="13.5" customHeight="1">
      <c r="A596" s="102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</row>
    <row r="597" spans="1:15" ht="13.5" customHeight="1">
      <c r="A597" s="102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</row>
    <row r="598" spans="1:15" ht="13.5" customHeight="1">
      <c r="A598" s="102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</row>
    <row r="599" spans="1:15" ht="13.5" customHeight="1">
      <c r="A599" s="102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</row>
    <row r="600" spans="1:15" ht="13.5" customHeight="1">
      <c r="A600" s="102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</row>
    <row r="601" spans="1:15" ht="13.5" customHeight="1">
      <c r="A601" s="102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</row>
    <row r="602" spans="1:15" ht="13.5" customHeight="1">
      <c r="A602" s="102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</row>
    <row r="603" spans="1:15" ht="13.5" customHeight="1">
      <c r="A603" s="102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</row>
    <row r="604" spans="1:15" ht="13.5" customHeight="1">
      <c r="A604" s="102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</row>
    <row r="605" spans="1:15" ht="13.5" customHeight="1">
      <c r="A605" s="102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</row>
    <row r="606" spans="1:15" ht="13.5" customHeight="1">
      <c r="A606" s="102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</row>
    <row r="607" spans="1:15" ht="13.5" customHeight="1">
      <c r="A607" s="102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</row>
    <row r="608" spans="1:15" ht="13.5" customHeight="1">
      <c r="A608" s="102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</row>
    <row r="609" spans="1:15" ht="13.5" customHeight="1">
      <c r="A609" s="102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</row>
    <row r="610" spans="1:15" ht="13.5" customHeight="1">
      <c r="A610" s="102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</row>
    <row r="611" spans="1:15" ht="13.5" customHeight="1">
      <c r="A611" s="102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</row>
    <row r="612" spans="1:15" ht="13.5" customHeight="1">
      <c r="A612" s="102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</row>
    <row r="613" spans="1:15" ht="13.5" customHeight="1">
      <c r="A613" s="102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</row>
    <row r="614" spans="1:15" ht="13.5" customHeight="1">
      <c r="A614" s="102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</row>
    <row r="615" spans="1:15" ht="13.5" customHeight="1">
      <c r="A615" s="102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</row>
    <row r="616" spans="1:15" ht="13.5" customHeight="1">
      <c r="A616" s="102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</row>
    <row r="617" spans="1:15" ht="13.5" customHeight="1">
      <c r="A617" s="102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</row>
    <row r="618" spans="1:15" ht="13.5" customHeight="1">
      <c r="A618" s="102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</row>
    <row r="619" spans="1:15" ht="13.5" customHeight="1">
      <c r="A619" s="102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</row>
    <row r="620" spans="1:15" ht="13.5" customHeight="1">
      <c r="A620" s="102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</row>
    <row r="621" spans="1:15" ht="13.5" customHeight="1">
      <c r="A621" s="102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</row>
    <row r="622" spans="1:15" ht="13.5" customHeight="1">
      <c r="A622" s="102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</row>
    <row r="623" spans="1:15" ht="13.5" customHeight="1">
      <c r="A623" s="102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</row>
    <row r="624" spans="1:15" ht="13.5" customHeight="1">
      <c r="A624" s="102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</row>
    <row r="625" spans="1:15" ht="13.5" customHeight="1">
      <c r="A625" s="102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</row>
    <row r="626" spans="1:15" ht="13.5" customHeight="1">
      <c r="A626" s="102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</row>
    <row r="627" spans="1:15" ht="13.5" customHeight="1">
      <c r="A627" s="102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</row>
    <row r="628" spans="1:15" ht="13.5" customHeight="1">
      <c r="A628" s="102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</row>
    <row r="629" spans="1:15" ht="13.5" customHeight="1">
      <c r="A629" s="102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</row>
    <row r="630" spans="1:15" ht="13.5" customHeight="1">
      <c r="A630" s="102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</row>
    <row r="631" spans="1:15" ht="13.5" customHeight="1">
      <c r="A631" s="102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</row>
    <row r="632" spans="1:15" ht="13.5" customHeight="1">
      <c r="A632" s="102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</row>
    <row r="633" spans="1:15" ht="13.5" customHeight="1">
      <c r="A633" s="102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</row>
    <row r="634" spans="1:15" ht="13.5" customHeight="1">
      <c r="A634" s="102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</row>
    <row r="635" spans="1:15" ht="13.5" customHeight="1">
      <c r="A635" s="102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</row>
    <row r="636" spans="1:15" ht="13.5" customHeight="1">
      <c r="A636" s="102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</row>
    <row r="637" spans="1:15" ht="13.5" customHeight="1">
      <c r="A637" s="102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</row>
    <row r="638" spans="1:15" ht="13.5" customHeight="1">
      <c r="A638" s="102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</row>
    <row r="639" spans="1:15" ht="13.5" customHeight="1">
      <c r="A639" s="102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</row>
    <row r="640" spans="1:15" ht="13.5" customHeight="1">
      <c r="A640" s="102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</row>
    <row r="641" spans="1:15" ht="13.5" customHeight="1">
      <c r="A641" s="102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</row>
    <row r="642" spans="1:15" ht="13.5" customHeight="1">
      <c r="A642" s="102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</row>
    <row r="643" spans="1:15" ht="13.5" customHeight="1">
      <c r="A643" s="102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</row>
    <row r="644" spans="1:15" ht="13.5" customHeight="1">
      <c r="A644" s="102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</row>
    <row r="645" spans="1:15" ht="13.5" customHeight="1">
      <c r="A645" s="102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</row>
    <row r="646" spans="1:15" ht="13.5" customHeight="1">
      <c r="A646" s="102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</row>
    <row r="647" spans="1:15" ht="13.5" customHeight="1">
      <c r="A647" s="102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</row>
    <row r="648" spans="1:15" ht="13.5" customHeight="1">
      <c r="A648" s="102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</row>
    <row r="649" spans="1:15" ht="13.5" customHeight="1">
      <c r="A649" s="102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</row>
    <row r="650" spans="1:15" ht="13.5" customHeight="1">
      <c r="A650" s="102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</row>
    <row r="651" spans="1:15" ht="13.5" customHeight="1">
      <c r="A651" s="102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</row>
    <row r="652" spans="1:15" ht="13.5" customHeight="1">
      <c r="A652" s="102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</row>
    <row r="653" spans="1:15" ht="13.5" customHeight="1">
      <c r="A653" s="102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</row>
    <row r="654" spans="1:15" ht="13.5" customHeight="1">
      <c r="A654" s="102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</row>
    <row r="655" spans="1:15" ht="13.5" customHeight="1">
      <c r="A655" s="102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</row>
    <row r="656" spans="1:15" ht="13.5" customHeight="1">
      <c r="A656" s="102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</row>
    <row r="657" spans="1:15" ht="13.5" customHeight="1">
      <c r="A657" s="102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</row>
    <row r="658" spans="1:15" ht="13.5" customHeight="1">
      <c r="A658" s="102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</row>
    <row r="659" spans="1:15" ht="13.5" customHeight="1">
      <c r="A659" s="102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</row>
    <row r="660" spans="1:15" ht="13.5" customHeight="1">
      <c r="A660" s="102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</row>
    <row r="661" spans="1:15" ht="13.5" customHeight="1">
      <c r="A661" s="102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</row>
    <row r="662" spans="1:15" ht="13.5" customHeight="1">
      <c r="A662" s="102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</row>
    <row r="663" spans="1:15" ht="13.5" customHeight="1">
      <c r="A663" s="102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</row>
    <row r="664" spans="1:15" ht="13.5" customHeight="1">
      <c r="A664" s="102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</row>
    <row r="665" spans="1:15" ht="13.5" customHeight="1">
      <c r="A665" s="102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</row>
    <row r="666" spans="1:15" ht="13.5" customHeight="1">
      <c r="A666" s="102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</row>
    <row r="667" spans="1:15" ht="13.5" customHeight="1">
      <c r="A667" s="102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</row>
    <row r="668" spans="1:15" ht="13.5" customHeight="1">
      <c r="A668" s="102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</row>
    <row r="669" spans="1:15" ht="13.5" customHeight="1">
      <c r="A669" s="102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</row>
    <row r="670" spans="1:15" ht="13.5" customHeight="1">
      <c r="A670" s="102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</row>
    <row r="671" spans="1:15" ht="13.5" customHeight="1">
      <c r="A671" s="102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</row>
    <row r="672" spans="1:15" ht="13.5" customHeight="1">
      <c r="A672" s="102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</row>
    <row r="673" spans="1:15" ht="13.5" customHeight="1">
      <c r="A673" s="102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</row>
    <row r="674" spans="1:15" ht="13.5" customHeight="1">
      <c r="A674" s="102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</row>
    <row r="675" spans="1:15" ht="13.5" customHeight="1">
      <c r="A675" s="102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</row>
    <row r="676" spans="1:15" ht="13.5" customHeight="1">
      <c r="A676" s="102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</row>
    <row r="677" spans="1:15" ht="13.5" customHeight="1">
      <c r="A677" s="102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</row>
    <row r="678" spans="1:15" ht="13.5" customHeight="1">
      <c r="A678" s="102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</row>
    <row r="679" spans="1:15" ht="13.5" customHeight="1">
      <c r="A679" s="102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</row>
    <row r="680" spans="1:15" ht="13.5" customHeight="1">
      <c r="A680" s="102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</row>
    <row r="681" spans="1:15" ht="13.5" customHeight="1">
      <c r="A681" s="102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</row>
    <row r="682" spans="1:15" ht="13.5" customHeight="1">
      <c r="A682" s="102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</row>
    <row r="683" spans="1:15" ht="13.5" customHeight="1">
      <c r="A683" s="102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</row>
    <row r="684" spans="1:15" ht="13.5" customHeight="1">
      <c r="A684" s="102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</row>
    <row r="685" spans="1:15" ht="13.5" customHeight="1">
      <c r="A685" s="102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</row>
    <row r="686" spans="1:15" ht="13.5" customHeight="1">
      <c r="A686" s="102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</row>
    <row r="687" spans="1:15" ht="13.5" customHeight="1">
      <c r="A687" s="102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</row>
    <row r="688" spans="1:15" ht="13.5" customHeight="1">
      <c r="A688" s="102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</row>
    <row r="689" spans="1:15" ht="13.5" customHeight="1">
      <c r="A689" s="102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</row>
    <row r="690" spans="1:15" ht="13.5" customHeight="1">
      <c r="A690" s="102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</row>
    <row r="691" spans="1:15" ht="13.5" customHeight="1">
      <c r="A691" s="102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</row>
    <row r="692" spans="1:15" ht="13.5" customHeight="1">
      <c r="A692" s="102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</row>
    <row r="693" spans="1:15" ht="13.5" customHeight="1">
      <c r="A693" s="102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</row>
    <row r="694" spans="1:15" ht="13.5" customHeight="1">
      <c r="A694" s="102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</row>
    <row r="695" spans="1:15" ht="13.5" customHeight="1">
      <c r="A695" s="102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</row>
    <row r="696" spans="1:15" ht="13.5" customHeight="1">
      <c r="A696" s="102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</row>
    <row r="697" spans="1:15" ht="13.5" customHeight="1">
      <c r="A697" s="102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</row>
    <row r="698" spans="1:15" ht="13.5" customHeight="1">
      <c r="A698" s="102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</row>
    <row r="699" spans="1:15" ht="13.5" customHeight="1">
      <c r="A699" s="102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</row>
    <row r="700" spans="1:15" ht="13.5" customHeight="1">
      <c r="A700" s="102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</row>
    <row r="701" spans="1:15" ht="13.5" customHeight="1">
      <c r="A701" s="102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</row>
    <row r="702" spans="1:15" ht="13.5" customHeight="1">
      <c r="A702" s="102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</row>
    <row r="703" spans="1:15" ht="13.5" customHeight="1">
      <c r="A703" s="102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</row>
    <row r="704" spans="1:15" ht="13.5" customHeight="1">
      <c r="A704" s="102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</row>
    <row r="705" spans="1:15" ht="13.5" customHeight="1">
      <c r="A705" s="102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</row>
    <row r="706" spans="1:15" ht="13.5" customHeight="1">
      <c r="A706" s="102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</row>
    <row r="707" spans="1:15" ht="13.5" customHeight="1">
      <c r="A707" s="102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</row>
    <row r="708" spans="1:15" ht="13.5" customHeight="1">
      <c r="A708" s="102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</row>
    <row r="709" spans="1:15" ht="13.5" customHeight="1">
      <c r="A709" s="102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</row>
    <row r="710" spans="1:15" ht="13.5" customHeight="1">
      <c r="A710" s="102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</row>
    <row r="711" spans="1:15" ht="13.5" customHeight="1">
      <c r="A711" s="102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</row>
    <row r="712" spans="1:15" ht="13.5" customHeight="1">
      <c r="A712" s="102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</row>
    <row r="713" spans="1:15" ht="13.5" customHeight="1">
      <c r="A713" s="102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</row>
    <row r="714" spans="1:15" ht="13.5" customHeight="1">
      <c r="A714" s="102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</row>
    <row r="715" spans="1:15" ht="13.5" customHeight="1">
      <c r="A715" s="102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</row>
    <row r="716" spans="1:15" ht="13.5" customHeight="1">
      <c r="A716" s="102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</row>
    <row r="717" spans="1:15" ht="13.5" customHeight="1">
      <c r="A717" s="102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</row>
    <row r="718" spans="1:15" ht="13.5" customHeight="1">
      <c r="A718" s="102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</row>
    <row r="719" spans="1:15" ht="13.5" customHeight="1">
      <c r="A719" s="102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</row>
    <row r="720" spans="1:15" ht="13.5" customHeight="1">
      <c r="A720" s="102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</row>
    <row r="721" spans="1:15" ht="13.5" customHeight="1">
      <c r="A721" s="102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</row>
    <row r="722" spans="1:15" ht="13.5" customHeight="1">
      <c r="A722" s="102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</row>
    <row r="723" spans="1:15" ht="13.5" customHeight="1">
      <c r="A723" s="102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</row>
    <row r="724" spans="1:15" ht="13.5" customHeight="1">
      <c r="A724" s="102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</row>
    <row r="725" spans="1:15" ht="13.5" customHeight="1">
      <c r="A725" s="102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</row>
    <row r="726" spans="1:15" ht="13.5" customHeight="1">
      <c r="A726" s="102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</row>
    <row r="727" spans="1:15" ht="13.5" customHeight="1">
      <c r="A727" s="102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</row>
    <row r="728" spans="1:15" ht="13.5" customHeight="1">
      <c r="A728" s="102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</row>
    <row r="729" spans="1:15" ht="13.5" customHeight="1">
      <c r="A729" s="102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</row>
    <row r="730" spans="1:15" ht="13.5" customHeight="1">
      <c r="A730" s="102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</row>
    <row r="731" spans="1:15" ht="13.5" customHeight="1">
      <c r="A731" s="102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</row>
    <row r="732" spans="1:15" ht="13.5" customHeight="1">
      <c r="A732" s="102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</row>
    <row r="733" spans="1:15" ht="13.5" customHeight="1">
      <c r="A733" s="102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</row>
    <row r="734" spans="1:15" ht="13.5" customHeight="1">
      <c r="A734" s="102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</row>
    <row r="735" spans="1:15" ht="13.5" customHeight="1">
      <c r="A735" s="102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</row>
    <row r="736" spans="1:15" ht="13.5" customHeight="1">
      <c r="A736" s="102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</row>
    <row r="737" spans="1:15" ht="13.5" customHeight="1">
      <c r="A737" s="102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</row>
    <row r="738" spans="1:15" ht="13.5" customHeight="1">
      <c r="A738" s="102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</row>
    <row r="739" spans="1:15" ht="13.5" customHeight="1">
      <c r="A739" s="102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</row>
    <row r="740" spans="1:15" ht="13.5" customHeight="1">
      <c r="A740" s="102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</row>
    <row r="741" spans="1:15" ht="13.5" customHeight="1">
      <c r="A741" s="102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</row>
    <row r="742" spans="1:15" ht="13.5" customHeight="1">
      <c r="A742" s="102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</row>
    <row r="743" spans="1:15" ht="13.5" customHeight="1">
      <c r="A743" s="102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</row>
    <row r="744" spans="1:15" ht="13.5" customHeight="1">
      <c r="A744" s="102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</row>
    <row r="745" spans="1:15" ht="13.5" customHeight="1">
      <c r="A745" s="102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</row>
    <row r="746" spans="1:15" ht="13.5" customHeight="1">
      <c r="A746" s="102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</row>
    <row r="747" spans="1:15" ht="13.5" customHeight="1">
      <c r="A747" s="102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</row>
    <row r="748" spans="1:15" ht="13.5" customHeight="1">
      <c r="A748" s="102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</row>
    <row r="749" spans="1:15" ht="13.5" customHeight="1">
      <c r="A749" s="102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</row>
    <row r="750" spans="1:15" ht="13.5" customHeight="1">
      <c r="A750" s="102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</row>
    <row r="751" spans="1:15" ht="13.5" customHeight="1">
      <c r="A751" s="102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</row>
    <row r="752" spans="1:15" ht="13.5" customHeight="1">
      <c r="A752" s="102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</row>
    <row r="753" spans="1:15" ht="13.5" customHeight="1">
      <c r="A753" s="102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</row>
    <row r="754" spans="1:15" ht="13.5" customHeight="1">
      <c r="A754" s="102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</row>
    <row r="755" spans="1:15" ht="13.5" customHeight="1">
      <c r="A755" s="102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</row>
    <row r="756" spans="1:15" ht="13.5" customHeight="1">
      <c r="A756" s="102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</row>
    <row r="757" spans="1:15" ht="13.5" customHeight="1">
      <c r="A757" s="102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</row>
    <row r="758" spans="1:15" ht="13.5" customHeight="1">
      <c r="A758" s="102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</row>
    <row r="759" spans="1:15" ht="13.5" customHeight="1">
      <c r="A759" s="102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</row>
    <row r="760" spans="1:15" ht="13.5" customHeight="1">
      <c r="A760" s="102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</row>
    <row r="761" spans="1:15" ht="13.5" customHeight="1">
      <c r="A761" s="102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</row>
    <row r="762" spans="1:15" ht="13.5" customHeight="1">
      <c r="A762" s="102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</row>
    <row r="763" spans="1:15" ht="13.5" customHeight="1">
      <c r="A763" s="102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</row>
    <row r="764" spans="1:15" ht="13.5" customHeight="1">
      <c r="A764" s="102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</row>
    <row r="765" spans="1:15" ht="13.5" customHeight="1">
      <c r="A765" s="102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</row>
    <row r="766" spans="1:15" ht="13.5" customHeight="1">
      <c r="A766" s="102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</row>
    <row r="767" spans="1:15" ht="13.5" customHeight="1">
      <c r="A767" s="102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</row>
    <row r="768" spans="1:15" ht="13.5" customHeight="1">
      <c r="A768" s="102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</row>
    <row r="769" spans="1:15" ht="13.5" customHeight="1">
      <c r="A769" s="102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</row>
    <row r="770" spans="1:15" ht="13.5" customHeight="1">
      <c r="A770" s="102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</row>
    <row r="771" spans="1:15" ht="13.5" customHeight="1">
      <c r="A771" s="102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</row>
    <row r="772" spans="1:15" ht="13.5" customHeight="1">
      <c r="A772" s="102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</row>
    <row r="773" spans="1:15" ht="13.5" customHeight="1">
      <c r="A773" s="102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</row>
    <row r="774" spans="1:15" ht="13.5" customHeight="1">
      <c r="A774" s="102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</row>
    <row r="775" spans="1:15" ht="13.5" customHeight="1">
      <c r="A775" s="102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</row>
    <row r="776" spans="1:15" ht="13.5" customHeight="1">
      <c r="A776" s="102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</row>
    <row r="777" spans="1:15" ht="13.5" customHeight="1">
      <c r="A777" s="102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</row>
    <row r="778" spans="1:15" ht="13.5" customHeight="1">
      <c r="A778" s="102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</row>
    <row r="779" spans="1:15" ht="13.5" customHeight="1">
      <c r="A779" s="102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</row>
    <row r="780" spans="1:15" ht="13.5" customHeight="1">
      <c r="A780" s="102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</row>
    <row r="781" spans="1:15" ht="13.5" customHeight="1">
      <c r="A781" s="102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</row>
    <row r="782" spans="1:15" ht="13.5" customHeight="1">
      <c r="A782" s="102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</row>
    <row r="783" spans="1:15" ht="13.5" customHeight="1">
      <c r="A783" s="102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</row>
    <row r="784" spans="1:15" ht="13.5" customHeight="1">
      <c r="A784" s="102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</row>
    <row r="785" spans="1:15" ht="13.5" customHeight="1">
      <c r="A785" s="102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</row>
    <row r="786" spans="1:15" ht="13.5" customHeight="1">
      <c r="A786" s="102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</row>
    <row r="787" spans="1:15" ht="13.5" customHeight="1">
      <c r="A787" s="102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</row>
    <row r="788" spans="1:15" ht="13.5" customHeight="1">
      <c r="A788" s="102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</row>
    <row r="789" spans="1:15" ht="13.5" customHeight="1">
      <c r="A789" s="102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</row>
    <row r="790" spans="1:15" ht="13.5" customHeight="1">
      <c r="A790" s="102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</row>
    <row r="791" spans="1:15" ht="13.5" customHeight="1">
      <c r="A791" s="102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</row>
    <row r="792" spans="1:15" ht="13.5" customHeight="1">
      <c r="A792" s="102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</row>
    <row r="793" spans="1:15" ht="13.5" customHeight="1">
      <c r="A793" s="102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</row>
    <row r="794" spans="1:15" ht="13.5" customHeight="1">
      <c r="A794" s="102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</row>
    <row r="795" spans="1:15" ht="13.5" customHeight="1">
      <c r="A795" s="102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</row>
    <row r="796" spans="1:15" ht="13.5" customHeight="1">
      <c r="A796" s="102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</row>
    <row r="797" spans="1:15" ht="13.5" customHeight="1">
      <c r="A797" s="102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</row>
    <row r="798" spans="1:15" ht="13.5" customHeight="1">
      <c r="A798" s="102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</row>
    <row r="799" spans="1:15" ht="13.5" customHeight="1">
      <c r="A799" s="102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</row>
    <row r="800" spans="1:15" ht="13.5" customHeight="1">
      <c r="A800" s="102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</row>
    <row r="801" spans="1:15" ht="13.5" customHeight="1">
      <c r="A801" s="102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</row>
    <row r="802" spans="1:15" ht="13.5" customHeight="1">
      <c r="A802" s="102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</row>
    <row r="803" spans="1:15" ht="13.5" customHeight="1">
      <c r="A803" s="102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</row>
    <row r="804" spans="1:15" ht="13.5" customHeight="1">
      <c r="A804" s="102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</row>
    <row r="805" spans="1:15" ht="13.5" customHeight="1">
      <c r="A805" s="102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</row>
    <row r="806" spans="1:15" ht="13.5" customHeight="1">
      <c r="A806" s="102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</row>
    <row r="807" spans="1:15" ht="13.5" customHeight="1">
      <c r="A807" s="102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</row>
    <row r="808" spans="1:15" ht="13.5" customHeight="1">
      <c r="A808" s="102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</row>
    <row r="809" spans="1:15" ht="13.5" customHeight="1">
      <c r="A809" s="102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</row>
    <row r="810" spans="1:15" ht="13.5" customHeight="1">
      <c r="A810" s="102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</row>
    <row r="811" spans="1:15" ht="13.5" customHeight="1">
      <c r="A811" s="102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</row>
    <row r="812" spans="1:15" ht="13.5" customHeight="1">
      <c r="A812" s="102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</row>
    <row r="813" spans="1:15" ht="13.5" customHeight="1">
      <c r="A813" s="102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</row>
    <row r="814" spans="1:15" ht="13.5" customHeight="1">
      <c r="A814" s="102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</row>
    <row r="815" spans="1:15" ht="13.5" customHeight="1">
      <c r="A815" s="102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</row>
    <row r="816" spans="1:15" ht="13.5" customHeight="1">
      <c r="A816" s="102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</row>
    <row r="817" spans="1:15" ht="13.5" customHeight="1">
      <c r="A817" s="102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</row>
    <row r="818" spans="1:15" ht="13.5" customHeight="1">
      <c r="A818" s="102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</row>
    <row r="819" spans="1:15" ht="13.5" customHeight="1">
      <c r="A819" s="102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</row>
    <row r="820" spans="1:15" ht="13.5" customHeight="1">
      <c r="A820" s="102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</row>
    <row r="821" spans="1:15" ht="13.5" customHeight="1">
      <c r="A821" s="102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</row>
    <row r="822" spans="1:15" ht="13.5" customHeight="1">
      <c r="A822" s="102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</row>
    <row r="823" spans="1:15" ht="13.5" customHeight="1">
      <c r="A823" s="102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</row>
    <row r="824" spans="1:15" ht="13.5" customHeight="1">
      <c r="A824" s="102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</row>
    <row r="825" spans="1:15" ht="13.5" customHeight="1">
      <c r="A825" s="102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</row>
    <row r="826" spans="1:15" ht="13.5" customHeight="1">
      <c r="A826" s="102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</row>
    <row r="827" spans="1:15" ht="13.5" customHeight="1">
      <c r="A827" s="102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</row>
    <row r="828" spans="1:15" ht="13.5" customHeight="1">
      <c r="A828" s="102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</row>
    <row r="829" spans="1:15" ht="13.5" customHeight="1">
      <c r="A829" s="102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</row>
    <row r="830" spans="1:15" ht="13.5" customHeight="1">
      <c r="A830" s="102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</row>
    <row r="831" spans="1:15" ht="13.5" customHeight="1">
      <c r="A831" s="102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</row>
    <row r="832" spans="1:15" ht="13.5" customHeight="1">
      <c r="A832" s="102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</row>
    <row r="833" spans="1:15" ht="13.5" customHeight="1">
      <c r="A833" s="102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</row>
    <row r="834" spans="1:15" ht="13.5" customHeight="1">
      <c r="A834" s="102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</row>
    <row r="835" spans="1:15" ht="13.5" customHeight="1">
      <c r="A835" s="102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</row>
    <row r="836" spans="1:15" ht="13.5" customHeight="1">
      <c r="A836" s="102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</row>
    <row r="837" spans="1:15" ht="13.5" customHeight="1">
      <c r="A837" s="102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</row>
    <row r="838" spans="1:15" ht="13.5" customHeight="1">
      <c r="A838" s="102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</row>
    <row r="839" spans="1:15" ht="13.5" customHeight="1">
      <c r="A839" s="102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</row>
    <row r="840" spans="1:15" ht="13.5" customHeight="1">
      <c r="A840" s="102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</row>
    <row r="841" spans="1:15" ht="13.5" customHeight="1">
      <c r="A841" s="102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</row>
    <row r="842" spans="1:15" ht="13.5" customHeight="1">
      <c r="A842" s="102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</row>
    <row r="843" spans="1:15" ht="13.5" customHeight="1">
      <c r="A843" s="102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</row>
    <row r="844" spans="1:15" ht="13.5" customHeight="1">
      <c r="A844" s="102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</row>
    <row r="845" spans="1:15" ht="13.5" customHeight="1">
      <c r="A845" s="102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</row>
    <row r="846" spans="1:15" ht="13.5" customHeight="1">
      <c r="A846" s="102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</row>
    <row r="847" spans="1:15" ht="13.5" customHeight="1">
      <c r="A847" s="102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</row>
    <row r="848" spans="1:15" ht="13.5" customHeight="1">
      <c r="A848" s="102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</row>
    <row r="849" spans="1:15" ht="13.5" customHeight="1">
      <c r="A849" s="102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</row>
    <row r="850" spans="1:15" ht="13.5" customHeight="1">
      <c r="A850" s="102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</row>
    <row r="851" spans="1:15" ht="13.5" customHeight="1">
      <c r="A851" s="102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</row>
    <row r="852" spans="1:15" ht="13.5" customHeight="1">
      <c r="A852" s="102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</row>
    <row r="853" spans="1:15" ht="13.5" customHeight="1">
      <c r="A853" s="102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</row>
    <row r="854" spans="1:15" ht="13.5" customHeight="1">
      <c r="A854" s="102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</row>
    <row r="855" spans="1:15" ht="13.5" customHeight="1">
      <c r="A855" s="102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</row>
    <row r="856" spans="1:15" ht="13.5" customHeight="1">
      <c r="A856" s="102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</row>
    <row r="857" spans="1:15" ht="13.5" customHeight="1">
      <c r="A857" s="102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</row>
    <row r="858" spans="1:15" ht="13.5" customHeight="1">
      <c r="A858" s="102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</row>
    <row r="859" spans="1:15" ht="13.5" customHeight="1">
      <c r="A859" s="102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</row>
    <row r="860" spans="1:15" ht="13.5" customHeight="1">
      <c r="A860" s="102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</row>
    <row r="861" spans="1:15" ht="13.5" customHeight="1">
      <c r="A861" s="102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</row>
    <row r="862" spans="1:15" ht="13.5" customHeight="1">
      <c r="A862" s="102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</row>
    <row r="863" spans="1:15" ht="13.5" customHeight="1">
      <c r="A863" s="102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</row>
    <row r="864" spans="1:15" ht="13.5" customHeight="1">
      <c r="A864" s="102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</row>
    <row r="865" spans="1:15" ht="13.5" customHeight="1">
      <c r="A865" s="102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</row>
    <row r="866" spans="1:15" ht="13.5" customHeight="1">
      <c r="A866" s="102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</row>
    <row r="867" spans="1:15" ht="13.5" customHeight="1">
      <c r="A867" s="102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</row>
    <row r="868" spans="1:15" ht="13.5" customHeight="1">
      <c r="A868" s="102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</row>
    <row r="869" spans="1:15" ht="13.5" customHeight="1">
      <c r="A869" s="102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</row>
    <row r="870" spans="1:15" ht="13.5" customHeight="1">
      <c r="A870" s="102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</row>
    <row r="871" spans="1:15" ht="13.5" customHeight="1">
      <c r="A871" s="102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</row>
    <row r="872" spans="1:15" ht="13.5" customHeight="1">
      <c r="A872" s="102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</row>
    <row r="873" spans="1:15" ht="13.5" customHeight="1">
      <c r="A873" s="102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</row>
    <row r="874" spans="1:15" ht="13.5" customHeight="1">
      <c r="A874" s="102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</row>
    <row r="875" spans="1:15" ht="13.5" customHeight="1">
      <c r="A875" s="102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</row>
    <row r="876" spans="1:15" ht="13.5" customHeight="1">
      <c r="A876" s="102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</row>
    <row r="877" spans="1:15" ht="13.5" customHeight="1">
      <c r="A877" s="102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</row>
    <row r="878" spans="1:15" ht="13.5" customHeight="1">
      <c r="A878" s="102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</row>
    <row r="879" spans="1:15" ht="13.5" customHeight="1">
      <c r="A879" s="102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</row>
    <row r="880" spans="1:15" ht="13.5" customHeight="1">
      <c r="A880" s="102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</row>
    <row r="881" spans="1:15" ht="13.5" customHeight="1">
      <c r="A881" s="102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</row>
    <row r="882" spans="1:15" ht="13.5" customHeight="1">
      <c r="A882" s="102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</row>
    <row r="883" spans="1:15" ht="13.5" customHeight="1">
      <c r="A883" s="102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</row>
    <row r="884" spans="1:15" ht="13.5" customHeight="1">
      <c r="A884" s="102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</row>
    <row r="885" spans="1:15" ht="13.5" customHeight="1">
      <c r="A885" s="102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</row>
    <row r="886" spans="1:15" ht="13.5" customHeight="1">
      <c r="A886" s="102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</row>
    <row r="887" spans="1:15" ht="13.5" customHeight="1">
      <c r="A887" s="102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</row>
    <row r="888" spans="1:15" ht="13.5" customHeight="1">
      <c r="A888" s="102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</row>
    <row r="889" spans="1:15" ht="13.5" customHeight="1">
      <c r="A889" s="102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</row>
    <row r="890" spans="1:15" ht="13.5" customHeight="1">
      <c r="A890" s="102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</row>
    <row r="891" spans="1:15" ht="13.5" customHeight="1">
      <c r="A891" s="102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</row>
    <row r="892" spans="1:15" ht="13.5" customHeight="1">
      <c r="A892" s="102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</row>
    <row r="893" spans="1:15" ht="13.5" customHeight="1">
      <c r="A893" s="102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</row>
    <row r="894" spans="1:15" ht="13.5" customHeight="1">
      <c r="A894" s="102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</row>
    <row r="895" spans="1:15" ht="13.5" customHeight="1">
      <c r="A895" s="102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</row>
    <row r="896" spans="1:15" ht="13.5" customHeight="1">
      <c r="A896" s="102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</row>
    <row r="897" spans="1:15" ht="13.5" customHeight="1">
      <c r="A897" s="102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</row>
    <row r="898" spans="1:15" ht="13.5" customHeight="1">
      <c r="A898" s="102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</row>
    <row r="899" spans="1:15" ht="13.5" customHeight="1">
      <c r="A899" s="102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</row>
    <row r="900" spans="1:15" ht="13.5" customHeight="1">
      <c r="A900" s="102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</row>
    <row r="901" spans="1:15" ht="13.5" customHeight="1">
      <c r="A901" s="102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</row>
    <row r="902" spans="1:15" ht="13.5" customHeight="1">
      <c r="A902" s="102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</row>
    <row r="903" spans="1:15" ht="13.5" customHeight="1">
      <c r="A903" s="102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</row>
    <row r="904" spans="1:15" ht="13.5" customHeight="1">
      <c r="A904" s="102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</row>
    <row r="905" spans="1:15" ht="13.5" customHeight="1">
      <c r="A905" s="102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</row>
    <row r="906" spans="1:15" ht="13.5" customHeight="1">
      <c r="A906" s="102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</row>
    <row r="907" spans="1:15" ht="13.5" customHeight="1">
      <c r="A907" s="102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</row>
    <row r="908" spans="1:15" ht="13.5" customHeight="1">
      <c r="A908" s="102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</row>
    <row r="909" spans="1:15" ht="13.5" customHeight="1">
      <c r="A909" s="102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</row>
    <row r="910" spans="1:15" ht="13.5" customHeight="1">
      <c r="A910" s="102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</row>
    <row r="911" spans="1:15" ht="13.5" customHeight="1">
      <c r="A911" s="102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</row>
    <row r="912" spans="1:15" ht="13.5" customHeight="1">
      <c r="A912" s="102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</row>
    <row r="913" spans="1:15" ht="13.5" customHeight="1">
      <c r="A913" s="102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</row>
    <row r="914" spans="1:15" ht="13.5" customHeight="1">
      <c r="A914" s="102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</row>
    <row r="915" spans="1:15" ht="13.5" customHeight="1">
      <c r="A915" s="102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</row>
    <row r="916" spans="1:15" ht="13.5" customHeight="1">
      <c r="A916" s="102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</row>
    <row r="917" spans="1:15" ht="13.5" customHeight="1">
      <c r="A917" s="102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</row>
    <row r="918" spans="1:15" ht="13.5" customHeight="1">
      <c r="A918" s="102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</row>
    <row r="919" spans="1:15" ht="13.5" customHeight="1">
      <c r="A919" s="102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</row>
    <row r="920" spans="1:15" ht="13.5" customHeight="1">
      <c r="A920" s="102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</row>
    <row r="921" spans="1:15" ht="13.5" customHeight="1">
      <c r="A921" s="102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</row>
    <row r="922" spans="1:15" ht="13.5" customHeight="1">
      <c r="A922" s="102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</row>
    <row r="923" spans="1:15" ht="13.5" customHeight="1">
      <c r="A923" s="102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</row>
    <row r="924" spans="1:15" ht="13.5" customHeight="1">
      <c r="A924" s="102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</row>
    <row r="925" spans="1:15" ht="13.5" customHeight="1">
      <c r="A925" s="102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</row>
    <row r="926" spans="1:15" ht="13.5" customHeight="1">
      <c r="A926" s="102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</row>
    <row r="927" spans="1:15" ht="13.5" customHeight="1">
      <c r="A927" s="102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</row>
    <row r="928" spans="1:15" ht="13.5" customHeight="1">
      <c r="A928" s="102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</row>
    <row r="929" spans="1:15" ht="13.5" customHeight="1">
      <c r="A929" s="102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</row>
    <row r="930" spans="1:15" ht="13.5" customHeight="1">
      <c r="A930" s="102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</row>
    <row r="931" spans="1:15" ht="13.5" customHeight="1">
      <c r="A931" s="102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</row>
    <row r="932" spans="1:15" ht="13.5" customHeight="1">
      <c r="A932" s="102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</row>
    <row r="933" spans="1:15" ht="13.5" customHeight="1">
      <c r="A933" s="102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</row>
    <row r="934" spans="1:15" ht="13.5" customHeight="1">
      <c r="A934" s="102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</row>
    <row r="935" spans="1:15" ht="13.5" customHeight="1">
      <c r="A935" s="102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</row>
    <row r="936" spans="1:15" ht="13.5" customHeight="1">
      <c r="A936" s="102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</row>
    <row r="937" spans="1:15" ht="13.5" customHeight="1">
      <c r="A937" s="102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</row>
    <row r="938" spans="1:15" ht="13.5" customHeight="1">
      <c r="A938" s="102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</row>
    <row r="939" spans="1:15" ht="13.5" customHeight="1">
      <c r="A939" s="102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</row>
    <row r="940" spans="1:15" ht="13.5" customHeight="1">
      <c r="A940" s="102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</row>
    <row r="941" spans="1:15" ht="13.5" customHeight="1">
      <c r="A941" s="102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</row>
    <row r="942" spans="1:15" ht="13.5" customHeight="1">
      <c r="A942" s="102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</row>
    <row r="943" spans="1:15" ht="13.5" customHeight="1">
      <c r="A943" s="102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</row>
    <row r="944" spans="1:15" ht="13.5" customHeight="1">
      <c r="A944" s="102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</row>
    <row r="945" spans="1:15" ht="13.5" customHeight="1">
      <c r="A945" s="102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</row>
    <row r="946" spans="1:15" ht="13.5" customHeight="1">
      <c r="A946" s="102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</row>
    <row r="947" spans="1:15" ht="13.5" customHeight="1">
      <c r="A947" s="102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</row>
    <row r="948" spans="1:15" ht="13.5" customHeight="1">
      <c r="A948" s="102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</row>
    <row r="949" spans="1:15" ht="13.5" customHeight="1">
      <c r="A949" s="102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</row>
    <row r="950" spans="1:15" ht="13.5" customHeight="1">
      <c r="A950" s="102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</row>
    <row r="951" spans="1:15" ht="13.5" customHeight="1">
      <c r="A951" s="102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</row>
    <row r="952" spans="1:15" ht="13.5" customHeight="1">
      <c r="A952" s="102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</row>
    <row r="953" spans="1:15" ht="13.5" customHeight="1">
      <c r="A953" s="102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</row>
    <row r="954" spans="1:15" ht="13.5" customHeight="1">
      <c r="A954" s="102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</row>
    <row r="955" spans="1:15" ht="13.5" customHeight="1">
      <c r="A955" s="102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</row>
    <row r="956" spans="1:15" ht="13.5" customHeight="1">
      <c r="A956" s="102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</row>
    <row r="957" spans="1:15" ht="13.5" customHeight="1">
      <c r="A957" s="102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</row>
    <row r="958" spans="1:15" ht="13.5" customHeight="1">
      <c r="A958" s="102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</row>
    <row r="959" spans="1:15" ht="13.5" customHeight="1">
      <c r="A959" s="102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</row>
    <row r="960" spans="1:15" ht="13.5" customHeight="1">
      <c r="A960" s="102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</row>
    <row r="961" spans="1:15" ht="13.5" customHeight="1">
      <c r="A961" s="102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</row>
    <row r="962" spans="1:15" ht="13.5" customHeight="1">
      <c r="A962" s="102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</row>
    <row r="963" spans="1:15" ht="13.5" customHeight="1">
      <c r="A963" s="102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</row>
    <row r="964" spans="1:15" ht="13.5" customHeight="1">
      <c r="A964" s="102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</row>
    <row r="965" spans="1:15" ht="13.5" customHeight="1">
      <c r="A965" s="102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</row>
    <row r="966" spans="1:15" ht="13.5" customHeight="1">
      <c r="A966" s="102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</row>
    <row r="967" spans="1:15" ht="13.5" customHeight="1">
      <c r="A967" s="102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FFE0-B375-8E41-B9B7-71BC18098B3B}">
  <dimension ref="A1:T1036"/>
  <sheetViews>
    <sheetView showGridLines="0" tabSelected="1" zoomScale="130" zoomScaleNormal="130" workbookViewId="0">
      <pane xSplit="1" ySplit="1" topLeftCell="B60" activePane="bottomRight" state="frozen"/>
      <selection pane="topRight" activeCell="B1" sqref="B1"/>
      <selection pane="bottomLeft" activeCell="A2" sqref="A2"/>
      <selection pane="bottomRight" activeCell="H75" sqref="H75"/>
    </sheetView>
  </sheetViews>
  <sheetFormatPr defaultColWidth="14.5" defaultRowHeight="15.75" outlineLevelRow="1"/>
  <cols>
    <col min="1" max="1" width="35.5" bestFit="1" customWidth="1"/>
    <col min="2" max="14" width="9.625" bestFit="1" customWidth="1"/>
    <col min="15" max="15" width="8.125" bestFit="1" customWidth="1"/>
    <col min="16" max="16" width="4.5" customWidth="1"/>
    <col min="17" max="17" width="13.125" bestFit="1" customWidth="1"/>
    <col min="18" max="18" width="5.375" bestFit="1" customWidth="1"/>
    <col min="19" max="19" width="9.5" bestFit="1" customWidth="1"/>
  </cols>
  <sheetData>
    <row r="1" spans="1:18" ht="28.5" customHeight="1">
      <c r="A1" s="88" t="s">
        <v>88</v>
      </c>
      <c r="B1" s="89">
        <v>44927</v>
      </c>
      <c r="C1" s="89">
        <v>44958</v>
      </c>
      <c r="D1" s="89">
        <v>44986</v>
      </c>
      <c r="E1" s="89">
        <v>45017</v>
      </c>
      <c r="F1" s="89">
        <v>45047</v>
      </c>
      <c r="G1" s="89">
        <v>45078</v>
      </c>
      <c r="H1" s="89">
        <v>45108</v>
      </c>
      <c r="I1" s="89">
        <v>45139</v>
      </c>
      <c r="J1" s="89">
        <v>45170</v>
      </c>
      <c r="K1" s="89">
        <v>45200</v>
      </c>
      <c r="L1" s="89">
        <v>45231</v>
      </c>
      <c r="M1" s="118">
        <v>45261</v>
      </c>
      <c r="N1" s="118">
        <v>45292</v>
      </c>
      <c r="O1" s="118">
        <v>45323</v>
      </c>
      <c r="P1" s="91"/>
      <c r="Q1" s="90" t="s">
        <v>43</v>
      </c>
    </row>
    <row r="2" spans="1:18" ht="13.5" customHeight="1">
      <c r="A2" s="99"/>
      <c r="B2" s="119" t="s">
        <v>76</v>
      </c>
      <c r="C2" s="119" t="s">
        <v>76</v>
      </c>
      <c r="D2" s="119" t="s">
        <v>76</v>
      </c>
      <c r="E2" s="119" t="s">
        <v>76</v>
      </c>
      <c r="F2" s="119" t="s">
        <v>76</v>
      </c>
      <c r="G2" s="119" t="s">
        <v>76</v>
      </c>
      <c r="H2" s="119" t="s">
        <v>76</v>
      </c>
      <c r="I2" s="119" t="s">
        <v>76</v>
      </c>
      <c r="J2" s="119" t="s">
        <v>76</v>
      </c>
      <c r="K2" s="119" t="s">
        <v>76</v>
      </c>
      <c r="L2" s="119" t="s">
        <v>76</v>
      </c>
      <c r="M2" s="119" t="s">
        <v>76</v>
      </c>
      <c r="N2" s="119" t="s">
        <v>76</v>
      </c>
      <c r="O2" s="119" t="s">
        <v>76</v>
      </c>
      <c r="P2" s="91"/>
      <c r="Q2" s="120"/>
    </row>
    <row r="3" spans="1:18" ht="18" customHeight="1">
      <c r="A3" s="121" t="s">
        <v>89</v>
      </c>
      <c r="B3" s="114">
        <f>SUM(B4:B11)</f>
        <v>0</v>
      </c>
      <c r="C3" s="114">
        <f t="shared" ref="C3:O3" si="0">SUM(C4:C11)</f>
        <v>13425</v>
      </c>
      <c r="D3" s="114">
        <f t="shared" si="0"/>
        <v>50596</v>
      </c>
      <c r="E3" s="114">
        <f>SUM(E4:E11)</f>
        <v>64846.400000000001</v>
      </c>
      <c r="F3" s="114">
        <f t="shared" si="0"/>
        <v>110380</v>
      </c>
      <c r="G3" s="114">
        <f t="shared" si="0"/>
        <v>373912.80000000005</v>
      </c>
      <c r="H3" s="114">
        <f t="shared" si="0"/>
        <v>330376</v>
      </c>
      <c r="I3" s="114">
        <f t="shared" si="0"/>
        <v>350052.8</v>
      </c>
      <c r="J3" s="114">
        <f t="shared" si="0"/>
        <v>472200.8</v>
      </c>
      <c r="K3" s="114">
        <f t="shared" si="0"/>
        <v>447276.79999999999</v>
      </c>
      <c r="L3" s="114">
        <f t="shared" si="0"/>
        <v>374940.8</v>
      </c>
      <c r="M3" s="114">
        <f t="shared" si="0"/>
        <v>427420.8</v>
      </c>
      <c r="N3" s="114">
        <f t="shared" si="0"/>
        <v>394620.8</v>
      </c>
      <c r="O3" s="122">
        <f t="shared" si="0"/>
        <v>332800</v>
      </c>
      <c r="P3" s="91"/>
      <c r="Q3" s="122">
        <f t="shared" ref="Q3:Q21" si="1">SUM(B3:O3)</f>
        <v>3742848.9999999995</v>
      </c>
    </row>
    <row r="4" spans="1:18" ht="18" customHeight="1" outlineLevel="1">
      <c r="A4" s="94" t="s">
        <v>78</v>
      </c>
      <c r="B4" s="110"/>
      <c r="C4" s="110"/>
      <c r="D4" s="110">
        <f>CUPONI!B2</f>
        <v>10820</v>
      </c>
      <c r="E4" s="110">
        <f>CUPONI!C2</f>
        <v>7140</v>
      </c>
      <c r="F4" s="110">
        <f>CUPONI!D2</f>
        <v>3480</v>
      </c>
      <c r="G4" s="110">
        <f>CUPONI!E2</f>
        <v>5160</v>
      </c>
      <c r="H4" s="110">
        <f>CUPONI!F2</f>
        <v>11300</v>
      </c>
      <c r="I4" s="110">
        <f>CUPONI!G2</f>
        <v>11300</v>
      </c>
      <c r="J4" s="110">
        <f>CUPONI!H2</f>
        <v>11300</v>
      </c>
      <c r="K4" s="110">
        <f>CUPONI!I2</f>
        <v>4800</v>
      </c>
      <c r="L4" s="110">
        <f>CUPONI!J2</f>
        <v>4800</v>
      </c>
      <c r="M4" s="110">
        <f>CUPONI!K2</f>
        <v>4800</v>
      </c>
      <c r="N4" s="110">
        <f>CUPONI!L2</f>
        <v>4800</v>
      </c>
      <c r="O4" s="123">
        <f>CUPONI!M2</f>
        <v>4800</v>
      </c>
      <c r="P4" s="91"/>
      <c r="Q4" s="96">
        <f t="shared" si="1"/>
        <v>84500</v>
      </c>
    </row>
    <row r="5" spans="1:18" ht="18" customHeight="1" outlineLevel="1">
      <c r="A5" s="94" t="s">
        <v>90</v>
      </c>
      <c r="B5" s="110"/>
      <c r="C5" s="110"/>
      <c r="D5" s="110">
        <f>MANI!C2</f>
        <v>39776</v>
      </c>
      <c r="E5" s="110">
        <f>MANI!D2</f>
        <v>49606.400000000001</v>
      </c>
      <c r="F5" s="110">
        <f>MANI!E2</f>
        <v>76000</v>
      </c>
      <c r="G5" s="110">
        <f>MANI!F2</f>
        <v>89030.399999999994</v>
      </c>
      <c r="H5" s="110">
        <f>MANI!G2</f>
        <v>55104</v>
      </c>
      <c r="I5" s="110">
        <f>MANI!H2</f>
        <v>34944</v>
      </c>
      <c r="J5" s="110">
        <f>MANI!I2</f>
        <v>34944</v>
      </c>
      <c r="K5" s="110">
        <f>MANI!J2</f>
        <v>14784</v>
      </c>
      <c r="L5" s="110">
        <f>MANI!K2</f>
        <v>0</v>
      </c>
      <c r="M5" s="110">
        <f>MANI!L2</f>
        <v>0</v>
      </c>
      <c r="N5" s="110">
        <f>MANI!M2</f>
        <v>0</v>
      </c>
      <c r="O5" s="96">
        <f>MANI!N2</f>
        <v>0</v>
      </c>
      <c r="P5" s="91"/>
      <c r="Q5" s="96">
        <f t="shared" si="1"/>
        <v>394188.79999999999</v>
      </c>
    </row>
    <row r="6" spans="1:18" ht="18" customHeight="1" outlineLevel="1">
      <c r="A6" s="94" t="s">
        <v>250</v>
      </c>
      <c r="B6" s="110"/>
      <c r="C6" s="110"/>
      <c r="D6" s="110"/>
      <c r="E6" s="110"/>
      <c r="F6" s="110"/>
      <c r="G6" s="110">
        <f>'ANBIMA - REUNE'!F2+'ANBIMA - REUNE'!E2</f>
        <v>172928</v>
      </c>
      <c r="H6" s="110">
        <f>'ANBIMA - REUNE'!G2</f>
        <v>130368</v>
      </c>
      <c r="I6" s="110">
        <f>'ANBIMA - REUNE'!H2</f>
        <v>130368</v>
      </c>
      <c r="J6" s="110">
        <f>'ANBIMA - REUNE'!I2</f>
        <v>118272</v>
      </c>
      <c r="K6" s="110">
        <f>'ANBIMA - REUNE'!J2</f>
        <v>47712</v>
      </c>
      <c r="L6" s="110">
        <f>'ANBIMA - REUNE'!K2</f>
        <v>0</v>
      </c>
      <c r="M6" s="110">
        <f>'ANBIMA - REUNE'!L2</f>
        <v>0</v>
      </c>
      <c r="N6" s="110">
        <f>'ANBIMA - REUNE'!M2</f>
        <v>0</v>
      </c>
      <c r="O6" s="96">
        <f>'ANBIMA - REUNE'!N2</f>
        <v>0</v>
      </c>
      <c r="P6" s="91"/>
      <c r="Q6" s="96">
        <f t="shared" si="1"/>
        <v>599648</v>
      </c>
    </row>
    <row r="7" spans="1:18" ht="18" customHeight="1" outlineLevel="1">
      <c r="A7" s="94" t="s">
        <v>251</v>
      </c>
      <c r="B7" s="110"/>
      <c r="C7" s="110"/>
      <c r="D7" s="110"/>
      <c r="E7" s="110"/>
      <c r="F7" s="110"/>
      <c r="G7" s="110"/>
      <c r="H7" s="110"/>
      <c r="I7" s="110">
        <f>'RESUMO PROJETOS'!G7</f>
        <v>44820</v>
      </c>
      <c r="J7" s="110">
        <f>'RESUMO PROJETOS'!H7</f>
        <v>229464</v>
      </c>
      <c r="K7" s="110">
        <f>'RESUMO PROJETOS'!I7</f>
        <v>301760</v>
      </c>
      <c r="L7" s="110">
        <f>'RESUMO PROJETOS'!J7</f>
        <v>291920</v>
      </c>
      <c r="M7" s="110">
        <f>'RESUMO PROJETOS'!K7</f>
        <v>344400</v>
      </c>
      <c r="N7" s="110">
        <f>'RESUMO PROJETOS'!L7</f>
        <v>311600</v>
      </c>
      <c r="O7" s="96">
        <f>'RESUMO PROJETOS'!M7</f>
        <v>328000</v>
      </c>
      <c r="P7" s="91"/>
      <c r="Q7" s="96">
        <f t="shared" si="1"/>
        <v>1851964</v>
      </c>
    </row>
    <row r="8" spans="1:18" ht="18" customHeight="1" outlineLevel="1">
      <c r="A8" s="94" t="s">
        <v>80</v>
      </c>
      <c r="B8" s="110"/>
      <c r="C8" s="110"/>
      <c r="D8" s="110"/>
      <c r="E8" s="110"/>
      <c r="F8" s="110"/>
      <c r="G8" s="110">
        <f>CREFISA!E2+CREFISA!F2</f>
        <v>104294.39999999999</v>
      </c>
      <c r="H8" s="110">
        <f>CREFISA!G2</f>
        <v>80704</v>
      </c>
      <c r="I8" s="110">
        <f>CREFISA!H2</f>
        <v>78220.800000000003</v>
      </c>
      <c r="J8" s="110">
        <f>CREFISA!I2</f>
        <v>78220.800000000003</v>
      </c>
      <c r="K8" s="110">
        <f>CREFISA!J2</f>
        <v>78220.800000000003</v>
      </c>
      <c r="L8" s="110">
        <f>CREFISA!K2</f>
        <v>78220.800000000003</v>
      </c>
      <c r="M8" s="110">
        <f>CREFISA!L2</f>
        <v>78220.800000000003</v>
      </c>
      <c r="N8" s="110">
        <f>CREFISA!M2</f>
        <v>78220.800000000003</v>
      </c>
      <c r="O8" s="96">
        <f>CREFISA!N2</f>
        <v>0</v>
      </c>
      <c r="P8" s="91"/>
      <c r="Q8" s="96">
        <f t="shared" si="1"/>
        <v>654323.20000000007</v>
      </c>
    </row>
    <row r="9" spans="1:18" ht="18" customHeight="1" outlineLevel="1">
      <c r="A9" s="94" t="s">
        <v>91</v>
      </c>
      <c r="B9" s="110"/>
      <c r="C9" s="110">
        <v>13425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96"/>
      <c r="P9" s="91"/>
      <c r="Q9" s="96">
        <f t="shared" si="1"/>
        <v>13425</v>
      </c>
    </row>
    <row r="10" spans="1:18" ht="18" customHeight="1" outlineLevel="1">
      <c r="A10" s="94" t="s">
        <v>234</v>
      </c>
      <c r="B10" s="110"/>
      <c r="C10" s="110"/>
      <c r="D10" s="110"/>
      <c r="E10" s="110"/>
      <c r="F10" s="110"/>
      <c r="G10" s="110"/>
      <c r="H10" s="110">
        <f>'COGNA - KEEGGO'!F2</f>
        <v>50400</v>
      </c>
      <c r="I10" s="110">
        <f>'COGNA - KEEGGO'!G2</f>
        <v>50400</v>
      </c>
      <c r="J10" s="110"/>
      <c r="K10" s="110"/>
      <c r="L10" s="110"/>
      <c r="M10" s="110"/>
      <c r="N10" s="110"/>
      <c r="O10" s="96"/>
      <c r="P10" s="91"/>
      <c r="Q10" s="96"/>
    </row>
    <row r="11" spans="1:18" ht="18" customHeight="1" outlineLevel="1">
      <c r="A11" s="94" t="s">
        <v>107</v>
      </c>
      <c r="B11" s="110"/>
      <c r="C11" s="110"/>
      <c r="D11" s="110"/>
      <c r="E11" s="110">
        <f>LPs!C2</f>
        <v>8100</v>
      </c>
      <c r="F11" s="110">
        <f>LPs!D2</f>
        <v>30900</v>
      </c>
      <c r="G11" s="110">
        <f>LPs!E2</f>
        <v>2500</v>
      </c>
      <c r="H11" s="110">
        <f>LPs!F2</f>
        <v>2500</v>
      </c>
      <c r="I11" s="110">
        <f>LPs!G2</f>
        <v>0</v>
      </c>
      <c r="J11" s="110">
        <f>LPs!H2</f>
        <v>0</v>
      </c>
      <c r="K11" s="110">
        <f>LPs!I2</f>
        <v>0</v>
      </c>
      <c r="L11" s="110">
        <f>LPs!J2</f>
        <v>0</v>
      </c>
      <c r="M11" s="110">
        <f>LPs!K2</f>
        <v>0</v>
      </c>
      <c r="N11" s="110"/>
      <c r="O11" s="124">
        <f>LPs!M2</f>
        <v>0</v>
      </c>
      <c r="P11" s="91"/>
      <c r="Q11" s="96">
        <f t="shared" si="1"/>
        <v>44000</v>
      </c>
    </row>
    <row r="12" spans="1:18" ht="18" customHeight="1">
      <c r="A12" s="125" t="s">
        <v>92</v>
      </c>
      <c r="B12" s="117">
        <v>-1192.71</v>
      </c>
      <c r="C12" s="117">
        <v>-1706.14</v>
      </c>
      <c r="D12" s="117">
        <f>SUM(B13:B20)</f>
        <v>-649.20000000000073</v>
      </c>
      <c r="E12" s="117">
        <f t="shared" ref="E12:O12" si="2">SUM(C13:C20)</f>
        <v>-2814.9600000000055</v>
      </c>
      <c r="F12" s="117">
        <f t="shared" si="2"/>
        <v>-3185.1840000000057</v>
      </c>
      <c r="G12" s="117">
        <f t="shared" si="2"/>
        <v>-18927.680000000011</v>
      </c>
      <c r="H12" s="117">
        <f t="shared" si="2"/>
        <v>-16711.472000000009</v>
      </c>
      <c r="I12" s="117">
        <f t="shared" si="2"/>
        <v>-38034.223999999995</v>
      </c>
      <c r="J12" s="117">
        <f t="shared" si="2"/>
        <v>-44022.159999999982</v>
      </c>
      <c r="K12" s="117">
        <f t="shared" si="2"/>
        <v>-57690.55999999999</v>
      </c>
      <c r="L12" s="117">
        <f t="shared" si="2"/>
        <v>-90378.623999999982</v>
      </c>
      <c r="M12" s="117">
        <f t="shared" si="2"/>
        <v>-78447.744000000006</v>
      </c>
      <c r="N12" s="117">
        <f t="shared" si="2"/>
        <v>-89967.744000000006</v>
      </c>
      <c r="O12" s="228">
        <f t="shared" si="2"/>
        <v>-82767.744000000006</v>
      </c>
      <c r="P12" s="91"/>
      <c r="Q12" s="126">
        <f t="shared" si="1"/>
        <v>-526496.14599999995</v>
      </c>
      <c r="R12" s="7">
        <f>Q12/Q3</f>
        <v>-0.14066721526836909</v>
      </c>
    </row>
    <row r="13" spans="1:18" ht="18" customHeight="1" outlineLevel="1">
      <c r="A13" s="94" t="str">
        <f t="shared" ref="A13:A19" si="3">A4</f>
        <v>CUPONI</v>
      </c>
      <c r="B13" s="110">
        <f>-CUPONI!B2+CUPONI!B3</f>
        <v>-649.20000000000073</v>
      </c>
      <c r="C13" s="110">
        <f>-CUPONI!C2+CUPONI!C3</f>
        <v>-428.40000000000055</v>
      </c>
      <c r="D13" s="110">
        <f>-CUPONI!D2+CUPONI!D3</f>
        <v>-208.80000000000018</v>
      </c>
      <c r="E13" s="110"/>
      <c r="F13" s="110">
        <f>-CUPONI!F2+CUPONI!F3</f>
        <v>-678</v>
      </c>
      <c r="G13" s="110">
        <f>-CUPONI!G2+CUPONI!G3</f>
        <v>-678</v>
      </c>
      <c r="H13" s="110">
        <f>-CUPONI!H2+CUPONI!H3</f>
        <v>-678</v>
      </c>
      <c r="I13" s="110">
        <f>-CUPONI!I2+CUPONI!I3</f>
        <v>-288</v>
      </c>
      <c r="J13" s="110">
        <f>-CUPONI!J2+CUPONI!J3</f>
        <v>-288</v>
      </c>
      <c r="K13" s="110">
        <f>-CUPONI!K2+CUPONI!K3</f>
        <v>-288</v>
      </c>
      <c r="L13" s="110">
        <f>-CUPONI!L2+CUPONI!L3</f>
        <v>-288</v>
      </c>
      <c r="M13" s="110">
        <f>-CUPONI!M2+CUPONI!M3</f>
        <v>-288</v>
      </c>
      <c r="N13" s="110">
        <f>-CUPONI!N2+CUPONI!N3</f>
        <v>0</v>
      </c>
      <c r="O13" s="123"/>
      <c r="P13" s="91"/>
      <c r="Q13" s="96">
        <f t="shared" si="1"/>
        <v>-4760.4000000000015</v>
      </c>
    </row>
    <row r="14" spans="1:18" ht="18" customHeight="1" outlineLevel="1">
      <c r="A14" s="94" t="str">
        <f t="shared" si="3"/>
        <v>MANIPULAE</v>
      </c>
      <c r="B14" s="110"/>
      <c r="C14" s="110">
        <f>-MANI!C2+MANI!C6</f>
        <v>-2386.5600000000049</v>
      </c>
      <c r="D14" s="110">
        <f>-MANI!D2+MANI!D6</f>
        <v>-2976.3840000000055</v>
      </c>
      <c r="E14" s="110">
        <f>-MANI!E2+MANI!E6</f>
        <v>-6080</v>
      </c>
      <c r="F14" s="110">
        <f>-MANI!F2+MANI!F6</f>
        <v>-7122.4320000000007</v>
      </c>
      <c r="G14" s="110">
        <f>-MANI!G2+MANI!G6</f>
        <v>-4408.32</v>
      </c>
      <c r="H14" s="110">
        <f>-MANI!H2+MANI!H6</f>
        <v>-2795.5199999999968</v>
      </c>
      <c r="I14" s="110">
        <f>-MANI!I2+MANI!I6</f>
        <v>-2795.5199999999968</v>
      </c>
      <c r="J14" s="110">
        <f>-MANI!J2+MANI!J6</f>
        <v>-1182.7199999999993</v>
      </c>
      <c r="K14" s="110">
        <f>-MANI!K2+MANI!K6</f>
        <v>0</v>
      </c>
      <c r="L14" s="110">
        <f>-MANI!L2+MANI!L6</f>
        <v>0</v>
      </c>
      <c r="M14" s="110">
        <f>-MANI!M2+MANI!M6</f>
        <v>0</v>
      </c>
      <c r="N14" s="110">
        <f>-MANI!N2+MANI!N6</f>
        <v>0</v>
      </c>
      <c r="O14" s="96"/>
      <c r="P14" s="91"/>
      <c r="Q14" s="96">
        <f t="shared" si="1"/>
        <v>-29747.456000000006</v>
      </c>
    </row>
    <row r="15" spans="1:18" ht="18" customHeight="1" outlineLevel="1">
      <c r="A15" s="94" t="str">
        <f t="shared" si="3"/>
        <v>ANBIMA - REUNE</v>
      </c>
      <c r="B15" s="110"/>
      <c r="C15" s="110"/>
      <c r="D15" s="110"/>
      <c r="E15" s="110">
        <f>('ANBIMA - REUNE'!E3-'ANBIMA - REUNE'!E2)+('ANBIMA - REUNE'!F3-'ANBIMA - REUNE'!F2)</f>
        <v>-10375.680000000011</v>
      </c>
      <c r="F15" s="110">
        <f>'ANBIMA - REUNE'!F3-'ANBIMA - REUNE'!F2</f>
        <v>-8711.0400000000081</v>
      </c>
      <c r="G15" s="110">
        <f>'ANBIMA - REUNE'!G3-'ANBIMA - REUNE'!G2</f>
        <v>-23466.239999999991</v>
      </c>
      <c r="H15" s="110">
        <f>'ANBIMA - REUNE'!H3-'ANBIMA - REUNE'!H2</f>
        <v>-23466.239999999991</v>
      </c>
      <c r="I15" s="110">
        <f>'ANBIMA - REUNE'!I3-'ANBIMA - REUNE'!I2</f>
        <v>-21288.959999999992</v>
      </c>
      <c r="J15" s="110">
        <f>'ANBIMA - REUNE'!J3-'ANBIMA - REUNE'!J2</f>
        <v>-8588.1599999999962</v>
      </c>
      <c r="K15" s="110">
        <f>'ANBIMA - REUNE'!K3-'ANBIMA - REUNE'!K2</f>
        <v>0</v>
      </c>
      <c r="L15" s="110">
        <f>-('ANBIMA - REUNE'!L2)+('ANBIMA - REUNE'!L3)</f>
        <v>0</v>
      </c>
      <c r="M15" s="110">
        <f>-('ANBIMA - REUNE'!M2)+('ANBIMA - REUNE'!M3)</f>
        <v>0</v>
      </c>
      <c r="N15" s="110">
        <f>-('ANBIMA - REUNE'!N2)+('ANBIMA - REUNE'!N3)</f>
        <v>0</v>
      </c>
      <c r="O15" s="96"/>
      <c r="P15" s="91"/>
      <c r="Q15" s="96">
        <f t="shared" si="1"/>
        <v>-95896.319999999978</v>
      </c>
    </row>
    <row r="16" spans="1:18" ht="18" customHeight="1" outlineLevel="1">
      <c r="A16" s="94" t="str">
        <f t="shared" si="3"/>
        <v>ANBIMA - SAIDA DE DADOS</v>
      </c>
      <c r="B16" s="110"/>
      <c r="C16" s="110"/>
      <c r="D16" s="110"/>
      <c r="E16" s="110"/>
      <c r="F16" s="110"/>
      <c r="G16" s="110">
        <f>'ANBIMA - Saida de Dados'!F3-'ANBIMA - Saida de Dados'!F2</f>
        <v>0</v>
      </c>
      <c r="H16" s="110">
        <f>'ANBIMA - Saida de Dados'!G3-'ANBIMA - Saida de Dados'!G2</f>
        <v>-4980</v>
      </c>
      <c r="I16" s="110">
        <f>'ANBIMA - Saida de Dados'!H3-'ANBIMA - Saida de Dados'!H2</f>
        <v>-25496</v>
      </c>
      <c r="J16" s="110">
        <f>'ANBIMA - Saida de Dados'!I3-'ANBIMA - Saida de Dados'!I2</f>
        <v>-66240</v>
      </c>
      <c r="K16" s="110">
        <f>'ANBIMA - Saida de Dados'!J3-'ANBIMA - Saida de Dados'!J2</f>
        <v>-64080</v>
      </c>
      <c r="L16" s="110">
        <f>'ANBIMA - Saida de Dados'!K3-'ANBIMA - Saida de Dados'!K2</f>
        <v>-75600</v>
      </c>
      <c r="M16" s="110">
        <f>'ANBIMA - Saida de Dados'!L3-'ANBIMA - Saida de Dados'!L2</f>
        <v>-68400</v>
      </c>
      <c r="N16" s="110">
        <f>'ANBIMA - Saida de Dados'!M3-'ANBIMA - Saida de Dados'!M2</f>
        <v>-72000</v>
      </c>
      <c r="O16" s="96"/>
      <c r="P16" s="91"/>
      <c r="Q16" s="96">
        <f t="shared" si="1"/>
        <v>-376796</v>
      </c>
    </row>
    <row r="17" spans="1:20" ht="18" customHeight="1" outlineLevel="1">
      <c r="A17" s="94" t="str">
        <f t="shared" si="3"/>
        <v>CREFISA</v>
      </c>
      <c r="B17" s="110"/>
      <c r="C17" s="110"/>
      <c r="D17" s="110"/>
      <c r="E17" s="110"/>
      <c r="F17" s="110"/>
      <c r="G17" s="110">
        <f>(CREFISA!E3-CREFISA!E2)+(CREFISA!F3-CREFISA!F2)</f>
        <v>-6257.6640000000043</v>
      </c>
      <c r="H17" s="110">
        <f>CREFISA!G3-CREFISA!G2</f>
        <v>-8070.3999999999942</v>
      </c>
      <c r="I17" s="110">
        <f>CREFISA!H3-CREFISA!H2</f>
        <v>-7822.0800000000017</v>
      </c>
      <c r="J17" s="110">
        <f>CREFISA!I3-CREFISA!I2</f>
        <v>-14079.743999999999</v>
      </c>
      <c r="K17" s="110">
        <f>CREFISA!J3-CREFISA!J2</f>
        <v>-14079.743999999999</v>
      </c>
      <c r="L17" s="110">
        <f>CREFISA!K3-CREFISA!K2</f>
        <v>-14079.743999999999</v>
      </c>
      <c r="M17" s="110">
        <f>CREFISA!L3-CREFISA!L2</f>
        <v>-14079.743999999999</v>
      </c>
      <c r="N17" s="110">
        <f>CREFISA!M3-CREFISA!M2</f>
        <v>-14079.743999999999</v>
      </c>
      <c r="O17" s="96"/>
      <c r="P17" s="91"/>
      <c r="Q17" s="96">
        <f t="shared" si="1"/>
        <v>-92548.864000000001</v>
      </c>
    </row>
    <row r="18" spans="1:20" ht="18" customHeight="1" outlineLevel="1">
      <c r="A18" s="94" t="str">
        <f t="shared" si="3"/>
        <v>PIQCOIN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96"/>
      <c r="P18" s="91"/>
      <c r="Q18" s="96">
        <f t="shared" si="1"/>
        <v>0</v>
      </c>
    </row>
    <row r="19" spans="1:20" ht="18" customHeight="1" outlineLevel="1">
      <c r="A19" s="94" t="str">
        <f t="shared" si="3"/>
        <v>COGNA - KEEGGO</v>
      </c>
      <c r="B19" s="110"/>
      <c r="C19" s="110"/>
      <c r="D19" s="110"/>
      <c r="E19" s="110"/>
      <c r="F19" s="110"/>
      <c r="G19" s="110">
        <f>'COGNA - KEEGGO'!F3-'COGNA - KEEGGO'!F2</f>
        <v>-3024</v>
      </c>
      <c r="H19" s="110">
        <f>'COGNA - KEEGGO'!G3-'COGNA - KEEGGO'!G2</f>
        <v>-4032</v>
      </c>
      <c r="I19" s="110"/>
      <c r="J19" s="110"/>
      <c r="K19" s="110"/>
      <c r="L19" s="110"/>
      <c r="M19" s="110"/>
      <c r="N19" s="110"/>
      <c r="O19" s="96"/>
      <c r="P19" s="91"/>
      <c r="Q19" s="96">
        <f t="shared" si="1"/>
        <v>-7056</v>
      </c>
    </row>
    <row r="20" spans="1:20" ht="18" customHeight="1" outlineLevel="1">
      <c r="A20" s="94" t="str">
        <f t="shared" ref="A20" si="4">A11</f>
        <v>LPs</v>
      </c>
      <c r="B20" s="110"/>
      <c r="C20" s="110"/>
      <c r="D20" s="110"/>
      <c r="E20" s="110">
        <f>-LPs!D2*8%</f>
        <v>-2472</v>
      </c>
      <c r="F20" s="110">
        <f>-LPs!E2*8%</f>
        <v>-200</v>
      </c>
      <c r="G20" s="110">
        <f>-LPs!F2*8%</f>
        <v>-200</v>
      </c>
      <c r="H20" s="110">
        <f>-LPs!G2*8%</f>
        <v>0</v>
      </c>
      <c r="I20" s="110">
        <f>-LPs!G2+LPs!G9</f>
        <v>0</v>
      </c>
      <c r="J20" s="110">
        <f>-LPs!H2+LPs!H9</f>
        <v>0</v>
      </c>
      <c r="K20" s="110">
        <f>-LPs!I2+LPs!I9</f>
        <v>0</v>
      </c>
      <c r="L20" s="110">
        <f>-LPs!J2+LPs!J9</f>
        <v>0</v>
      </c>
      <c r="M20" s="110">
        <f>-LPs!K2+LPs!K9</f>
        <v>0</v>
      </c>
      <c r="N20" s="110"/>
      <c r="O20" s="124"/>
      <c r="P20" s="91"/>
      <c r="Q20" s="96">
        <f t="shared" si="1"/>
        <v>-2872</v>
      </c>
    </row>
    <row r="21" spans="1:20" ht="18" customHeight="1">
      <c r="A21" s="121" t="s">
        <v>77</v>
      </c>
      <c r="B21" s="122">
        <f>B12</f>
        <v>-1192.71</v>
      </c>
      <c r="C21" s="122">
        <f t="shared" ref="C21:O21" si="5">C3+C12</f>
        <v>11718.86</v>
      </c>
      <c r="D21" s="122">
        <f t="shared" si="5"/>
        <v>49946.8</v>
      </c>
      <c r="E21" s="122">
        <f t="shared" si="5"/>
        <v>62031.439999999995</v>
      </c>
      <c r="F21" s="122">
        <f t="shared" si="5"/>
        <v>107194.81599999999</v>
      </c>
      <c r="G21" s="122">
        <f t="shared" si="5"/>
        <v>354985.12000000005</v>
      </c>
      <c r="H21" s="122">
        <f t="shared" si="5"/>
        <v>313664.52799999999</v>
      </c>
      <c r="I21" s="122">
        <f t="shared" si="5"/>
        <v>312018.576</v>
      </c>
      <c r="J21" s="122">
        <f t="shared" si="5"/>
        <v>428178.64</v>
      </c>
      <c r="K21" s="122">
        <f t="shared" si="5"/>
        <v>389586.24</v>
      </c>
      <c r="L21" s="122">
        <f t="shared" si="5"/>
        <v>284562.17599999998</v>
      </c>
      <c r="M21" s="122">
        <f t="shared" si="5"/>
        <v>348973.05599999998</v>
      </c>
      <c r="N21" s="122">
        <f t="shared" si="5"/>
        <v>304653.05599999998</v>
      </c>
      <c r="O21" s="229">
        <f t="shared" si="5"/>
        <v>250032.25599999999</v>
      </c>
      <c r="P21" s="91"/>
      <c r="Q21" s="122">
        <f t="shared" si="1"/>
        <v>3216352.8540000003</v>
      </c>
      <c r="T21">
        <v>106900</v>
      </c>
    </row>
    <row r="22" spans="1:20" ht="18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91"/>
      <c r="Q22" s="102"/>
      <c r="T22">
        <v>-8551.73</v>
      </c>
    </row>
    <row r="23" spans="1:20" ht="18" customHeight="1">
      <c r="A23" s="127" t="s">
        <v>93</v>
      </c>
      <c r="B23" s="126">
        <f t="shared" ref="B23:N23" si="6">B25+B34+B40+B67</f>
        <v>-15709.81</v>
      </c>
      <c r="C23" s="126">
        <f t="shared" si="6"/>
        <v>-18645.71</v>
      </c>
      <c r="D23" s="126">
        <f t="shared" si="6"/>
        <v>-20591.02</v>
      </c>
      <c r="E23" s="126">
        <f t="shared" si="6"/>
        <v>-20436.27</v>
      </c>
      <c r="F23" s="126">
        <f t="shared" si="6"/>
        <v>-101826.81</v>
      </c>
      <c r="G23" s="126">
        <f t="shared" si="6"/>
        <v>-127044.12999999999</v>
      </c>
      <c r="H23" s="126">
        <f t="shared" si="6"/>
        <v>-177968.44142857142</v>
      </c>
      <c r="I23" s="126">
        <f t="shared" si="6"/>
        <v>-245691.18</v>
      </c>
      <c r="J23" s="126">
        <f t="shared" si="6"/>
        <v>-240795.16</v>
      </c>
      <c r="K23" s="126">
        <f t="shared" si="6"/>
        <v>-238255.4657142857</v>
      </c>
      <c r="L23" s="126">
        <f t="shared" si="6"/>
        <v>-255766.38</v>
      </c>
      <c r="M23" s="126">
        <f t="shared" si="6"/>
        <v>-252841.17</v>
      </c>
      <c r="N23" s="126">
        <f t="shared" si="6"/>
        <v>-215550</v>
      </c>
      <c r="O23" s="126"/>
      <c r="P23" s="91"/>
      <c r="Q23" s="167">
        <f>SUM(B23:O23)</f>
        <v>-1931121.5471428572</v>
      </c>
      <c r="T23" s="7">
        <f>T22/T21</f>
        <v>-7.9997474275023378E-2</v>
      </c>
    </row>
    <row r="24" spans="1:20" ht="18" customHeight="1" outlineLevel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91"/>
      <c r="Q24" s="102"/>
      <c r="T24" s="133">
        <f>T22+E15</f>
        <v>-18927.410000000011</v>
      </c>
    </row>
    <row r="25" spans="1:20" ht="18" customHeight="1" outlineLevel="1">
      <c r="A25" s="166" t="s">
        <v>151</v>
      </c>
      <c r="B25" s="167">
        <f>SUM(B26:B33)</f>
        <v>-13000</v>
      </c>
      <c r="C25" s="167">
        <f t="shared" ref="C25:N25" si="7">SUM(C26:C33)</f>
        <v>-13220</v>
      </c>
      <c r="D25" s="167">
        <f t="shared" si="7"/>
        <v>-14036</v>
      </c>
      <c r="E25" s="167">
        <f t="shared" si="7"/>
        <v>-9784</v>
      </c>
      <c r="F25" s="167">
        <f t="shared" si="7"/>
        <v>-77941</v>
      </c>
      <c r="G25" s="167">
        <f t="shared" si="7"/>
        <v>-89929</v>
      </c>
      <c r="H25" s="167">
        <f t="shared" si="7"/>
        <v>-124642.86142857143</v>
      </c>
      <c r="I25" s="167">
        <f t="shared" si="7"/>
        <v>-195800</v>
      </c>
      <c r="J25" s="167">
        <f t="shared" si="7"/>
        <v>-190396.23</v>
      </c>
      <c r="K25" s="167">
        <f t="shared" si="7"/>
        <v>-188014.28571428571</v>
      </c>
      <c r="L25" s="167">
        <f t="shared" si="7"/>
        <v>-202300</v>
      </c>
      <c r="M25" s="167">
        <f t="shared" si="7"/>
        <v>-202300</v>
      </c>
      <c r="N25" s="167">
        <f t="shared" si="7"/>
        <v>-198300</v>
      </c>
      <c r="O25" s="167"/>
      <c r="P25" s="102"/>
      <c r="Q25" s="167">
        <f>SUM(B25:O25)</f>
        <v>-1519663.3771428571</v>
      </c>
    </row>
    <row r="26" spans="1:20" ht="18" customHeight="1" outlineLevel="1">
      <c r="A26" s="94" t="str">
        <f>A4</f>
        <v>CUPONI</v>
      </c>
      <c r="B26" s="110">
        <f>'RESUMO PROJETOS'!B12</f>
        <v>-13000</v>
      </c>
      <c r="C26" s="110">
        <f>'RESUMO PROJETOS'!C12</f>
        <v>-13220</v>
      </c>
      <c r="D26" s="110">
        <f>'RESUMO PROJETOS'!D12</f>
        <v>-11036</v>
      </c>
      <c r="E26" s="110">
        <f>'RESUMO PROJETOS'!E12</f>
        <v>-1184</v>
      </c>
      <c r="F26" s="110">
        <f>'RESUMO PROJETOS'!F12</f>
        <v>-1560</v>
      </c>
      <c r="G26" s="110">
        <f>'RESUMO PROJETOS'!G12</f>
        <v>-9300</v>
      </c>
      <c r="H26" s="110">
        <f>'RESUMO PROJETOS'!H12</f>
        <v>-9300</v>
      </c>
      <c r="I26" s="110">
        <f>'RESUMO PROJETOS'!I12</f>
        <v>-9300</v>
      </c>
      <c r="J26" s="110">
        <f>'RESUMO PROJETOS'!J12</f>
        <v>-2800</v>
      </c>
      <c r="K26" s="110">
        <f>'RESUMO PROJETOS'!K12</f>
        <v>-2800</v>
      </c>
      <c r="L26" s="110">
        <f>'RESUMO PROJETOS'!L12</f>
        <v>-2800</v>
      </c>
      <c r="M26" s="110">
        <f>'RESUMO PROJETOS'!M12</f>
        <v>-2800</v>
      </c>
      <c r="N26" s="110">
        <f>'RESUMO PROJETOS'!N12</f>
        <v>-2800</v>
      </c>
      <c r="O26" s="203"/>
      <c r="P26" s="91"/>
      <c r="Q26" s="189"/>
    </row>
    <row r="27" spans="1:20" ht="18" customHeight="1" outlineLevel="1">
      <c r="A27" s="94" t="str">
        <f>A5</f>
        <v>MANIPULAE</v>
      </c>
      <c r="B27" s="110">
        <f>'RESUMO PROJETOS'!B13</f>
        <v>0</v>
      </c>
      <c r="C27" s="110">
        <f>'RESUMO PROJETOS'!C13</f>
        <v>0</v>
      </c>
      <c r="D27" s="110">
        <f>'RESUMO PROJETOS'!D13</f>
        <v>-3000</v>
      </c>
      <c r="E27" s="110">
        <f>'RESUMO PROJETOS'!E13</f>
        <v>-3000</v>
      </c>
      <c r="F27" s="110">
        <f>'RESUMO PROJETOS'!F13</f>
        <v>-22000</v>
      </c>
      <c r="G27" s="110">
        <f>'RESUMO PROJETOS'!G13</f>
        <v>-22000</v>
      </c>
      <c r="H27" s="110">
        <f>'RESUMO PROJETOS'!H13</f>
        <v>-7500</v>
      </c>
      <c r="I27" s="110">
        <f>'RESUMO PROJETOS'!I13</f>
        <v>0</v>
      </c>
      <c r="J27" s="110">
        <f>'RESUMO PROJETOS'!J13</f>
        <v>0</v>
      </c>
      <c r="K27" s="110">
        <f>'RESUMO PROJETOS'!K13</f>
        <v>0</v>
      </c>
      <c r="L27" s="110">
        <f>'RESUMO PROJETOS'!L13</f>
        <v>0</v>
      </c>
      <c r="M27" s="110">
        <f>'RESUMO PROJETOS'!M13</f>
        <v>0</v>
      </c>
      <c r="N27" s="110">
        <f>'RESUMO PROJETOS'!N13</f>
        <v>0</v>
      </c>
      <c r="O27" s="39"/>
      <c r="P27" s="91"/>
      <c r="Q27" s="148"/>
    </row>
    <row r="28" spans="1:20" ht="18" customHeight="1" outlineLevel="1">
      <c r="A28" s="94" t="str">
        <f>A6</f>
        <v>ANBIMA - REUNE</v>
      </c>
      <c r="B28" s="110">
        <f>'RESUMO PROJETOS'!B14</f>
        <v>0</v>
      </c>
      <c r="C28" s="110">
        <f>'RESUMO PROJETOS'!C14</f>
        <v>0</v>
      </c>
      <c r="D28" s="110">
        <f>'RESUMO PROJETOS'!D14</f>
        <v>0</v>
      </c>
      <c r="E28" s="110">
        <f>'RESUMO PROJETOS'!E14</f>
        <v>0</v>
      </c>
      <c r="F28" s="110">
        <f>'RESUMO PROJETOS'!F14</f>
        <v>-34000</v>
      </c>
      <c r="G28" s="110">
        <f>'RESUMO PROJETOS'!G14</f>
        <v>-34000</v>
      </c>
      <c r="H28" s="110">
        <f>'RESUMO PROJETOS'!H14</f>
        <v>-44000</v>
      </c>
      <c r="I28" s="110">
        <f>'RESUMO PROJETOS'!I14</f>
        <v>-32000</v>
      </c>
      <c r="J28" s="110">
        <f>'RESUMO PROJETOS'!J14</f>
        <v>-13096.23</v>
      </c>
      <c r="K28" s="110">
        <f>'RESUMO PROJETOS'!K14</f>
        <v>0</v>
      </c>
      <c r="L28" s="110">
        <f>'RESUMO PROJETOS'!L14</f>
        <v>0</v>
      </c>
      <c r="M28" s="110">
        <f>'RESUMO PROJETOS'!M14</f>
        <v>0</v>
      </c>
      <c r="N28" s="110">
        <f>'RESUMO PROJETOS'!N14</f>
        <v>0</v>
      </c>
      <c r="O28" s="39"/>
      <c r="P28" s="91"/>
      <c r="Q28" s="148"/>
    </row>
    <row r="29" spans="1:20" ht="18" customHeight="1" outlineLevel="1">
      <c r="A29" s="94" t="str">
        <f>A7</f>
        <v>ANBIMA - SAIDA DE DADOS</v>
      </c>
      <c r="B29" s="110"/>
      <c r="C29" s="110"/>
      <c r="D29" s="110"/>
      <c r="E29" s="110"/>
      <c r="F29" s="110"/>
      <c r="G29" s="110"/>
      <c r="H29" s="110">
        <f>'ANBIMA - Saida de Dados'!H8</f>
        <v>-20928.575714285718</v>
      </c>
      <c r="I29" s="110">
        <f>'ANBIMA - Saida de Dados'!I8</f>
        <v>-124500</v>
      </c>
      <c r="J29" s="110">
        <f>'ANBIMA - Saida de Dados'!J8</f>
        <v>-144500</v>
      </c>
      <c r="K29" s="110">
        <f>'ANBIMA - Saida de Dados'!K8</f>
        <v>-155214.28571428571</v>
      </c>
      <c r="L29" s="110">
        <f>'ANBIMA - Saida de Dados'!L8</f>
        <v>-169500</v>
      </c>
      <c r="M29" s="110">
        <f>'ANBIMA - Saida de Dados'!M8</f>
        <v>-169500</v>
      </c>
      <c r="N29" s="110">
        <f>'ANBIMA - Saida de Dados'!N8</f>
        <v>-169500</v>
      </c>
      <c r="O29" s="96"/>
      <c r="P29" s="91"/>
      <c r="Q29" s="148"/>
    </row>
    <row r="30" spans="1:20" ht="18" customHeight="1" outlineLevel="1">
      <c r="A30" s="94" t="str">
        <f>A8</f>
        <v>CREFISA</v>
      </c>
      <c r="B30" s="110">
        <f>'RESUMO PROJETOS'!B16</f>
        <v>0</v>
      </c>
      <c r="C30" s="110">
        <f>'RESUMO PROJETOS'!C16</f>
        <v>0</v>
      </c>
      <c r="D30" s="110">
        <f>'RESUMO PROJETOS'!D16</f>
        <v>0</v>
      </c>
      <c r="E30" s="110">
        <f>'RESUMO PROJETOS'!E16</f>
        <v>-3100</v>
      </c>
      <c r="F30" s="110">
        <f>'RESUMO PROJETOS'!F16</f>
        <v>-19381</v>
      </c>
      <c r="G30" s="110">
        <f>'RESUMO PROJETOS'!G16</f>
        <v>-23429</v>
      </c>
      <c r="H30" s="110">
        <f>'RESUMO PROJETOS'!H16</f>
        <v>-26714.28571428571</v>
      </c>
      <c r="I30" s="110">
        <f>'RESUMO PROJETOS'!I16</f>
        <v>-30000</v>
      </c>
      <c r="J30" s="110">
        <f>'RESUMO PROJETOS'!J16</f>
        <v>-30000</v>
      </c>
      <c r="K30" s="110">
        <f>'RESUMO PROJETOS'!K16</f>
        <v>-30000</v>
      </c>
      <c r="L30" s="110">
        <f>'RESUMO PROJETOS'!L16</f>
        <v>-30000</v>
      </c>
      <c r="M30" s="110">
        <f>'RESUMO PROJETOS'!M16</f>
        <v>-30000</v>
      </c>
      <c r="N30" s="110">
        <f>'RESUMO PROJETOS'!N16</f>
        <v>-26000</v>
      </c>
      <c r="O30" s="39"/>
      <c r="P30" s="91"/>
      <c r="Q30" s="148"/>
    </row>
    <row r="31" spans="1:20" ht="18" customHeight="1" outlineLevel="1">
      <c r="A31" s="94" t="str">
        <f>A19</f>
        <v>COGNA - KEEGGO</v>
      </c>
      <c r="B31" s="110"/>
      <c r="C31" s="110"/>
      <c r="D31" s="110"/>
      <c r="E31" s="110"/>
      <c r="F31" s="110"/>
      <c r="G31" s="110">
        <f>'RESUMO PROJETOS'!F17</f>
        <v>0</v>
      </c>
      <c r="H31" s="110">
        <f>'RESUMO PROJETOS'!G17</f>
        <v>-15000</v>
      </c>
      <c r="I31" s="110"/>
      <c r="J31" s="110"/>
      <c r="K31" s="110"/>
      <c r="L31" s="110"/>
      <c r="M31" s="110"/>
      <c r="N31" s="110"/>
      <c r="O31" s="39"/>
      <c r="P31" s="91"/>
      <c r="Q31" s="148"/>
    </row>
    <row r="32" spans="1:20" ht="18" customHeight="1" outlineLevel="1">
      <c r="A32" s="94" t="s">
        <v>107</v>
      </c>
      <c r="B32" s="110">
        <f>'RESUMO PROJETOS'!B18</f>
        <v>0</v>
      </c>
      <c r="C32" s="110">
        <f>'RESUMO PROJETOS'!C18</f>
        <v>0</v>
      </c>
      <c r="D32" s="110">
        <f>'RESUMO PROJETOS'!D18</f>
        <v>0</v>
      </c>
      <c r="E32" s="110">
        <f>'RESUMO PROJETOS'!E18</f>
        <v>-2500</v>
      </c>
      <c r="F32" s="110">
        <f>'RESUMO PROJETOS'!F18</f>
        <v>-1000</v>
      </c>
      <c r="G32" s="110">
        <f>'RESUMO PROJETOS'!G18</f>
        <v>-1200</v>
      </c>
      <c r="H32" s="110">
        <f>'RESUMO PROJETOS'!H18</f>
        <v>-1200</v>
      </c>
      <c r="I32" s="110">
        <f>'RESUMO PROJETOS'!I18</f>
        <v>0</v>
      </c>
      <c r="J32" s="110">
        <f>'RESUMO PROJETOS'!J18</f>
        <v>0</v>
      </c>
      <c r="K32" s="110">
        <f>'RESUMO PROJETOS'!K18</f>
        <v>0</v>
      </c>
      <c r="L32" s="110">
        <f>'RESUMO PROJETOS'!L18</f>
        <v>0</v>
      </c>
      <c r="M32" s="110">
        <f>'RESUMO PROJETOS'!M18</f>
        <v>0</v>
      </c>
      <c r="N32" s="110">
        <f>'RESUMO PROJETOS'!N18</f>
        <v>0</v>
      </c>
      <c r="O32" s="39"/>
      <c r="P32" s="91"/>
      <c r="Q32" s="148"/>
    </row>
    <row r="33" spans="1:17" ht="18" customHeight="1" outlineLevel="1">
      <c r="A33" s="165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24"/>
      <c r="O33" s="149"/>
      <c r="P33" s="91"/>
      <c r="Q33" s="148"/>
    </row>
    <row r="34" spans="1:17" ht="18" customHeight="1" outlineLevel="1">
      <c r="A34" s="166" t="s">
        <v>109</v>
      </c>
      <c r="B34" s="167">
        <f t="shared" ref="B34:N34" si="8">SUM(B35:B39)</f>
        <v>-1200</v>
      </c>
      <c r="C34" s="167">
        <f t="shared" si="8"/>
        <v>-1200</v>
      </c>
      <c r="D34" s="167">
        <f t="shared" si="8"/>
        <v>-1200</v>
      </c>
      <c r="E34" s="167">
        <f t="shared" si="8"/>
        <v>-1200</v>
      </c>
      <c r="F34" s="167">
        <f t="shared" si="8"/>
        <v>-1200</v>
      </c>
      <c r="G34" s="167">
        <f t="shared" si="8"/>
        <v>-343</v>
      </c>
      <c r="H34" s="201">
        <f t="shared" si="8"/>
        <v>-10050</v>
      </c>
      <c r="I34" s="201">
        <f t="shared" si="8"/>
        <v>-14250</v>
      </c>
      <c r="J34" s="201">
        <f t="shared" si="8"/>
        <v>-14250</v>
      </c>
      <c r="K34" s="201">
        <f t="shared" si="8"/>
        <v>-14250</v>
      </c>
      <c r="L34" s="201">
        <f t="shared" si="8"/>
        <v>-17250</v>
      </c>
      <c r="M34" s="201">
        <f t="shared" si="8"/>
        <v>-17250</v>
      </c>
      <c r="N34" s="201">
        <f t="shared" si="8"/>
        <v>-17250</v>
      </c>
      <c r="O34" s="167"/>
      <c r="P34" s="102"/>
      <c r="Q34" s="167">
        <f>SUM(B34:O34)</f>
        <v>-110893</v>
      </c>
    </row>
    <row r="35" spans="1:17" ht="18" customHeight="1" outlineLevel="1">
      <c r="A35" s="147" t="s">
        <v>19</v>
      </c>
      <c r="B35" s="110">
        <f>-VLOOKUP($A$35,'ZH02'!$B:$N,4,0)</f>
        <v>-1200</v>
      </c>
      <c r="C35" s="110">
        <f>-VLOOKUP($A$35,'ZH02'!$B:$N,4,0)</f>
        <v>-1200</v>
      </c>
      <c r="D35" s="110">
        <f>-VLOOKUP($A$35,'ZH02'!$B:$N,4,0)</f>
        <v>-1200</v>
      </c>
      <c r="E35" s="110">
        <f>-VLOOKUP($A$35,'ZH02'!$B:$N,4,0)</f>
        <v>-1200</v>
      </c>
      <c r="F35" s="110">
        <f>-VLOOKUP($A$35,'ZH02'!$B:$N,4,0)</f>
        <v>-1200</v>
      </c>
      <c r="G35" s="110"/>
      <c r="H35" s="123"/>
      <c r="I35" s="186">
        <f>-VLOOKUP($A$35,'ZH02'!$B:$N,4,0)</f>
        <v>-1200</v>
      </c>
      <c r="J35" s="123">
        <f>-VLOOKUP($A$35,'ZH02'!$B:$N,4,0)</f>
        <v>-1200</v>
      </c>
      <c r="K35" s="186">
        <f>-VLOOKUP($A$35,'ZH02'!$B:$N,4,0)</f>
        <v>-1200</v>
      </c>
      <c r="L35" s="123">
        <f>-VLOOKUP($A$35,'ZH02'!$B:$N,4,0)</f>
        <v>-1200</v>
      </c>
      <c r="M35" s="186">
        <f>-VLOOKUP($A$35,'ZH02'!$B:$N,4,0)</f>
        <v>-1200</v>
      </c>
      <c r="N35" s="123">
        <f>-VLOOKUP($A$35,'ZH02'!$B:$N,4,0)</f>
        <v>-1200</v>
      </c>
      <c r="O35" s="198"/>
      <c r="P35" s="102"/>
      <c r="Q35" s="148"/>
    </row>
    <row r="36" spans="1:17" ht="18" customHeight="1" outlineLevel="1">
      <c r="A36" s="147" t="s">
        <v>236</v>
      </c>
      <c r="B36" s="110"/>
      <c r="C36" s="110"/>
      <c r="D36" s="110"/>
      <c r="E36" s="110"/>
      <c r="F36" s="110"/>
      <c r="G36" s="110">
        <v>-343</v>
      </c>
      <c r="H36" s="96">
        <f>-VLOOKUP($A$35,'ZH02'!$B:$N,4,0)</f>
        <v>-1200</v>
      </c>
      <c r="I36" s="97">
        <f>-VLOOKUP($A$35,'ZH02'!$B:$N,4,0)</f>
        <v>-1200</v>
      </c>
      <c r="J36" s="96">
        <f>-VLOOKUP($A$35,'ZH02'!$B:$N,4,0)</f>
        <v>-1200</v>
      </c>
      <c r="K36" s="97">
        <f>-VLOOKUP($A$35,'ZH02'!$B:$N,4,0)</f>
        <v>-1200</v>
      </c>
      <c r="L36" s="96">
        <f>-VLOOKUP($A$35,'ZH02'!$B:$N,4,0)</f>
        <v>-1200</v>
      </c>
      <c r="M36" s="97">
        <f>-VLOOKUP($A$35,'ZH02'!$B:$N,4,0)</f>
        <v>-1200</v>
      </c>
      <c r="N36" s="96">
        <f>-VLOOKUP($A$35,'ZH02'!$B:$N,4,0)</f>
        <v>-1200</v>
      </c>
      <c r="O36" s="198"/>
      <c r="P36" s="102"/>
      <c r="Q36" s="148"/>
    </row>
    <row r="37" spans="1:17" ht="18" customHeight="1" outlineLevel="1">
      <c r="A37" s="147" t="s">
        <v>18</v>
      </c>
      <c r="B37" s="110"/>
      <c r="C37" s="110"/>
      <c r="D37" s="110"/>
      <c r="E37" s="110"/>
      <c r="F37" s="110"/>
      <c r="G37" s="110"/>
      <c r="H37" s="96"/>
      <c r="I37" s="97"/>
      <c r="J37" s="96"/>
      <c r="K37" s="97"/>
      <c r="L37" s="96">
        <f>-VLOOKUP($A$37,'ZH02'!$B:$N,4,0)</f>
        <v>-3000</v>
      </c>
      <c r="M37" s="97">
        <f>-VLOOKUP($A$37,'ZH02'!$B:$N,4,0)</f>
        <v>-3000</v>
      </c>
      <c r="N37" s="96">
        <f>-VLOOKUP($A$37,'ZH02'!$B:$N,4,0)</f>
        <v>-3000</v>
      </c>
      <c r="O37" s="199"/>
      <c r="P37" s="102"/>
      <c r="Q37" s="148"/>
    </row>
    <row r="38" spans="1:17" ht="18" customHeight="1" outlineLevel="1">
      <c r="A38" s="147" t="s">
        <v>233</v>
      </c>
      <c r="B38" s="110"/>
      <c r="C38" s="110"/>
      <c r="D38" s="110"/>
      <c r="E38" s="110"/>
      <c r="F38" s="110"/>
      <c r="G38" s="110"/>
      <c r="H38" s="96">
        <f>-VLOOKUP($A$38,'ZH02'!$B:$N,4,0)</f>
        <v>-8850</v>
      </c>
      <c r="I38" s="97">
        <f>-VLOOKUP($A$38,'ZH02'!$B:$N,4,0)</f>
        <v>-8850</v>
      </c>
      <c r="J38" s="96">
        <f>-VLOOKUP($A$38,'ZH02'!$B:$N,4,0)</f>
        <v>-8850</v>
      </c>
      <c r="K38" s="97">
        <f>-VLOOKUP($A$38,'ZH02'!$B:$N,4,0)</f>
        <v>-8850</v>
      </c>
      <c r="L38" s="96">
        <f>-VLOOKUP($A$38,'ZH02'!$B:$N,4,0)</f>
        <v>-8850</v>
      </c>
      <c r="M38" s="97">
        <f>-VLOOKUP($A$38,'ZH02'!$B:$N,4,0)</f>
        <v>-8850</v>
      </c>
      <c r="N38" s="96">
        <f>-VLOOKUP($A$38,'ZH02'!$B:$N,4,0)</f>
        <v>-8850</v>
      </c>
      <c r="O38" s="199"/>
      <c r="P38" s="102"/>
      <c r="Q38" s="148"/>
    </row>
    <row r="39" spans="1:17" ht="18" customHeight="1" outlineLevel="1">
      <c r="A39" s="147" t="s">
        <v>11</v>
      </c>
      <c r="B39" s="143"/>
      <c r="C39" s="143"/>
      <c r="D39" s="143"/>
      <c r="E39" s="143"/>
      <c r="F39" s="143"/>
      <c r="G39" s="143"/>
      <c r="H39" s="124"/>
      <c r="I39" s="97">
        <f>-VLOOKUP($A$39,'ZH02'!$B:$N,4,0)</f>
        <v>-3000</v>
      </c>
      <c r="J39" s="124">
        <f>-VLOOKUP($A$39,'ZH02'!$B:$N,4,0)</f>
        <v>-3000</v>
      </c>
      <c r="K39" s="97">
        <f>-VLOOKUP($A$39,'ZH02'!$B:$N,4,0)</f>
        <v>-3000</v>
      </c>
      <c r="L39" s="124">
        <f>-VLOOKUP($A$39,'ZH02'!$B:$N,4,0)</f>
        <v>-3000</v>
      </c>
      <c r="M39" s="97">
        <f>-VLOOKUP($A$39,'ZH02'!$B:$N,4,0)</f>
        <v>-3000</v>
      </c>
      <c r="N39" s="124">
        <f>-VLOOKUP($A$39,'ZH02'!$B:$N,4,0)</f>
        <v>-3000</v>
      </c>
      <c r="O39" s="200"/>
      <c r="P39" s="102"/>
      <c r="Q39" s="148"/>
    </row>
    <row r="40" spans="1:17" ht="18" customHeight="1" outlineLevel="1">
      <c r="A40" s="166" t="s">
        <v>110</v>
      </c>
      <c r="B40" s="167">
        <f t="shared" ref="B40:N40" si="9">SUM(B41:B66)</f>
        <v>-1509.81</v>
      </c>
      <c r="C40" s="167">
        <f t="shared" si="9"/>
        <v>-1699.81</v>
      </c>
      <c r="D40" s="167">
        <f t="shared" si="9"/>
        <v>-2092.79</v>
      </c>
      <c r="E40" s="167">
        <f t="shared" si="9"/>
        <v>-2275.3300000000004</v>
      </c>
      <c r="F40" s="167">
        <f t="shared" si="9"/>
        <v>-7965.329999999999</v>
      </c>
      <c r="G40" s="167">
        <f t="shared" si="9"/>
        <v>-14460.4</v>
      </c>
      <c r="H40" s="202">
        <f t="shared" si="9"/>
        <v>-16878.75</v>
      </c>
      <c r="I40" s="167">
        <f t="shared" si="9"/>
        <v>-16878.75</v>
      </c>
      <c r="J40" s="167">
        <f t="shared" si="9"/>
        <v>-17386.5</v>
      </c>
      <c r="K40" s="167">
        <f t="shared" si="9"/>
        <v>-17228.75</v>
      </c>
      <c r="L40" s="167">
        <f t="shared" si="9"/>
        <v>-17628.75</v>
      </c>
      <c r="M40" s="167">
        <f t="shared" si="9"/>
        <v>-17786.5</v>
      </c>
      <c r="N40" s="167">
        <f t="shared" si="9"/>
        <v>0</v>
      </c>
      <c r="O40" s="167"/>
      <c r="P40" s="102"/>
      <c r="Q40" s="167">
        <f>SUM(B40:O40)</f>
        <v>-133791.47</v>
      </c>
    </row>
    <row r="41" spans="1:17" ht="18" customHeight="1" outlineLevel="1">
      <c r="A41" s="164" t="s">
        <v>111</v>
      </c>
      <c r="B41" s="192"/>
      <c r="C41" s="192"/>
      <c r="D41" s="192"/>
      <c r="E41" s="110"/>
      <c r="F41" s="110"/>
      <c r="G41" s="110">
        <v>-236.98</v>
      </c>
      <c r="H41" s="110"/>
      <c r="I41" s="110"/>
      <c r="J41" s="110"/>
      <c r="K41" s="110"/>
      <c r="L41" s="110"/>
      <c r="M41" s="110"/>
      <c r="N41" s="96"/>
      <c r="O41" s="39"/>
      <c r="P41" s="91"/>
      <c r="Q41" s="148"/>
    </row>
    <row r="42" spans="1:17" ht="18" customHeight="1" outlineLevel="1">
      <c r="A42" s="147" t="s">
        <v>112</v>
      </c>
      <c r="B42" s="192"/>
      <c r="C42" s="192"/>
      <c r="D42" s="192"/>
      <c r="E42" s="110"/>
      <c r="F42" s="110"/>
      <c r="G42" s="110">
        <v>-206.68</v>
      </c>
      <c r="H42" s="110"/>
      <c r="I42" s="110"/>
      <c r="J42" s="110"/>
      <c r="K42" s="110"/>
      <c r="L42" s="110"/>
      <c r="M42" s="110"/>
      <c r="N42" s="96"/>
      <c r="O42" s="148"/>
      <c r="P42" s="91"/>
      <c r="Q42" s="148"/>
    </row>
    <row r="43" spans="1:17" ht="18" customHeight="1" outlineLevel="1">
      <c r="A43" s="147" t="s">
        <v>241</v>
      </c>
      <c r="B43" s="192"/>
      <c r="C43" s="192"/>
      <c r="D43" s="192"/>
      <c r="E43" s="110"/>
      <c r="F43" s="110"/>
      <c r="G43" s="110">
        <v>-1700</v>
      </c>
      <c r="H43" s="110"/>
      <c r="I43" s="110"/>
      <c r="J43" s="110"/>
      <c r="K43" s="110"/>
      <c r="L43" s="110"/>
      <c r="M43" s="110"/>
      <c r="N43" s="96"/>
      <c r="O43" s="148"/>
      <c r="P43" s="91"/>
      <c r="Q43" s="148"/>
    </row>
    <row r="44" spans="1:17" ht="18" customHeight="1" outlineLevel="1">
      <c r="A44" s="147" t="s">
        <v>113</v>
      </c>
      <c r="B44" s="192"/>
      <c r="C44" s="192">
        <v>-400</v>
      </c>
      <c r="D44" s="192">
        <v>-269.89999999999998</v>
      </c>
      <c r="E44" s="110"/>
      <c r="F44" s="110"/>
      <c r="G44" s="110"/>
      <c r="H44" s="110"/>
      <c r="I44" s="110"/>
      <c r="J44" s="110"/>
      <c r="K44" s="110"/>
      <c r="L44" s="110"/>
      <c r="M44" s="110"/>
      <c r="N44" s="96"/>
      <c r="O44" s="148"/>
      <c r="P44" s="91"/>
      <c r="Q44" s="148"/>
    </row>
    <row r="45" spans="1:17" ht="18" customHeight="1" outlineLevel="1">
      <c r="A45" s="147" t="s">
        <v>114</v>
      </c>
      <c r="B45" s="192">
        <v>-148.5</v>
      </c>
      <c r="C45" s="192">
        <v>-148.5</v>
      </c>
      <c r="D45" s="192">
        <v>-148.5</v>
      </c>
      <c r="E45" s="110">
        <v>-445.5</v>
      </c>
      <c r="F45" s="110">
        <v>-445.5</v>
      </c>
      <c r="G45" s="110">
        <v>-445.5</v>
      </c>
      <c r="H45" s="110">
        <v>-445.5</v>
      </c>
      <c r="I45" s="110">
        <v>-445.5</v>
      </c>
      <c r="J45" s="110">
        <v>-445.5</v>
      </c>
      <c r="K45" s="110">
        <v>-445.5</v>
      </c>
      <c r="L45" s="110">
        <v>-445.5</v>
      </c>
      <c r="M45" s="110">
        <v>-445.5</v>
      </c>
      <c r="N45" s="96"/>
      <c r="O45" s="148"/>
      <c r="P45" s="91"/>
      <c r="Q45" s="148"/>
    </row>
    <row r="46" spans="1:17" ht="18" customHeight="1" outlineLevel="1">
      <c r="A46" s="147" t="s">
        <v>84</v>
      </c>
      <c r="B46" s="192"/>
      <c r="C46" s="192"/>
      <c r="D46" s="192"/>
      <c r="E46" s="110"/>
      <c r="F46" s="110"/>
      <c r="G46" s="110"/>
      <c r="H46" s="110">
        <v>-4120.76</v>
      </c>
      <c r="I46" s="110">
        <v>-4120.76</v>
      </c>
      <c r="J46" s="110">
        <v>-4120.76</v>
      </c>
      <c r="K46" s="110">
        <v>-4120.76</v>
      </c>
      <c r="L46" s="110">
        <v>-4120.76</v>
      </c>
      <c r="M46" s="110">
        <v>-4120.76</v>
      </c>
      <c r="N46" s="96"/>
      <c r="O46" s="148"/>
      <c r="P46" s="91"/>
      <c r="Q46" s="148"/>
    </row>
    <row r="47" spans="1:17" ht="18" customHeight="1" outlineLevel="1">
      <c r="A47" s="147" t="s">
        <v>276</v>
      </c>
      <c r="B47" s="192"/>
      <c r="C47" s="192"/>
      <c r="D47" s="192"/>
      <c r="E47" s="110"/>
      <c r="F47" s="110"/>
      <c r="G47" s="110">
        <v>-157.75</v>
      </c>
      <c r="H47" s="110"/>
      <c r="I47" s="110"/>
      <c r="J47" s="110">
        <v>-157.75</v>
      </c>
      <c r="K47" s="110"/>
      <c r="L47" s="110"/>
      <c r="M47" s="110">
        <v>-157.75</v>
      </c>
      <c r="N47" s="96"/>
      <c r="O47" s="148"/>
      <c r="P47" s="91"/>
      <c r="Q47" s="148"/>
    </row>
    <row r="48" spans="1:17" ht="18" customHeight="1" outlineLevel="1">
      <c r="A48" s="147" t="s">
        <v>216</v>
      </c>
      <c r="B48" s="192"/>
      <c r="C48" s="192"/>
      <c r="D48" s="192"/>
      <c r="E48" s="110">
        <v>-60</v>
      </c>
      <c r="F48" s="110">
        <v>-59.5</v>
      </c>
      <c r="G48" s="110">
        <f>-39-51</f>
        <v>-90</v>
      </c>
      <c r="H48" s="110">
        <v>-39</v>
      </c>
      <c r="I48" s="110">
        <v>-39</v>
      </c>
      <c r="J48" s="110">
        <v>-39</v>
      </c>
      <c r="K48" s="110">
        <v>-39</v>
      </c>
      <c r="L48" s="110">
        <v>-39</v>
      </c>
      <c r="M48" s="110">
        <v>-39</v>
      </c>
      <c r="N48" s="96"/>
      <c r="O48" s="148"/>
      <c r="P48" s="91"/>
      <c r="Q48" s="148"/>
    </row>
    <row r="49" spans="1:17" ht="18" customHeight="1" outlineLevel="1">
      <c r="A49" s="147" t="s">
        <v>224</v>
      </c>
      <c r="B49" s="192"/>
      <c r="C49" s="192"/>
      <c r="D49" s="192"/>
      <c r="E49" s="110"/>
      <c r="F49" s="110">
        <v>-400</v>
      </c>
      <c r="G49" s="110">
        <v>-400</v>
      </c>
      <c r="H49" s="110">
        <v>-400</v>
      </c>
      <c r="I49" s="110">
        <v>-400</v>
      </c>
      <c r="J49" s="110">
        <v>-400</v>
      </c>
      <c r="K49" s="110">
        <v>-400</v>
      </c>
      <c r="L49" s="110">
        <v>-400</v>
      </c>
      <c r="M49" s="110">
        <v>-400</v>
      </c>
      <c r="N49" s="96"/>
      <c r="O49" s="148"/>
      <c r="P49" s="91"/>
      <c r="Q49" s="148"/>
    </row>
    <row r="50" spans="1:17" ht="18" customHeight="1" outlineLevel="1">
      <c r="A50" s="147" t="s">
        <v>85</v>
      </c>
      <c r="B50" s="192"/>
      <c r="C50" s="192"/>
      <c r="D50" s="192"/>
      <c r="E50" s="110"/>
      <c r="F50" s="110"/>
      <c r="G50" s="110">
        <v>-300</v>
      </c>
      <c r="H50" s="110">
        <v>-600</v>
      </c>
      <c r="I50" s="110">
        <v>-600</v>
      </c>
      <c r="J50" s="110">
        <v>-600</v>
      </c>
      <c r="K50" s="110">
        <v>-600</v>
      </c>
      <c r="L50" s="110">
        <v>-600</v>
      </c>
      <c r="M50" s="110">
        <v>-600</v>
      </c>
      <c r="N50" s="96"/>
      <c r="O50" s="148"/>
      <c r="P50" s="91"/>
      <c r="Q50" s="148"/>
    </row>
    <row r="51" spans="1:17" ht="18" customHeight="1" outlineLevel="1">
      <c r="A51" s="147" t="s">
        <v>115</v>
      </c>
      <c r="B51" s="192"/>
      <c r="C51" s="192"/>
      <c r="D51" s="192"/>
      <c r="E51" s="110"/>
      <c r="F51" s="110"/>
      <c r="G51" s="110"/>
      <c r="H51" s="110"/>
      <c r="I51" s="110"/>
      <c r="J51" s="110"/>
      <c r="K51" s="110"/>
      <c r="L51" s="110"/>
      <c r="M51" s="110"/>
      <c r="N51" s="96"/>
      <c r="O51" s="148"/>
      <c r="P51" s="91"/>
      <c r="Q51" s="148"/>
    </row>
    <row r="52" spans="1:17" ht="18" customHeight="1" outlineLevel="1">
      <c r="A52" s="147" t="s">
        <v>299</v>
      </c>
      <c r="B52" s="192"/>
      <c r="C52" s="192"/>
      <c r="D52" s="192"/>
      <c r="E52" s="110"/>
      <c r="F52" s="110"/>
      <c r="G52" s="110">
        <v>-750</v>
      </c>
      <c r="H52" s="110"/>
      <c r="I52" s="110"/>
      <c r="J52" s="110"/>
      <c r="K52" s="110"/>
      <c r="L52" s="110"/>
      <c r="M52" s="110"/>
      <c r="N52" s="96"/>
      <c r="O52" s="148"/>
      <c r="P52" s="91"/>
      <c r="Q52" s="148"/>
    </row>
    <row r="53" spans="1:17" ht="18" customHeight="1" outlineLevel="1">
      <c r="A53" s="147" t="s">
        <v>243</v>
      </c>
      <c r="B53" s="192"/>
      <c r="C53" s="192"/>
      <c r="D53" s="192"/>
      <c r="E53" s="110"/>
      <c r="F53" s="110"/>
      <c r="G53" s="110">
        <v>-2100</v>
      </c>
      <c r="H53" s="110">
        <v>-2100</v>
      </c>
      <c r="I53" s="110">
        <v>-2100</v>
      </c>
      <c r="J53" s="110">
        <v>-2100</v>
      </c>
      <c r="K53" s="110">
        <v>-2100</v>
      </c>
      <c r="L53" s="110">
        <v>-2100</v>
      </c>
      <c r="M53" s="110">
        <v>-2100</v>
      </c>
      <c r="N53" s="96"/>
      <c r="O53" s="148"/>
      <c r="P53" s="91"/>
      <c r="Q53" s="148"/>
    </row>
    <row r="54" spans="1:17" ht="18" customHeight="1" outlineLevel="1">
      <c r="A54" s="147" t="s">
        <v>116</v>
      </c>
      <c r="B54" s="192">
        <v>-450</v>
      </c>
      <c r="C54" s="192">
        <v>-240</v>
      </c>
      <c r="D54" s="192">
        <v>-480</v>
      </c>
      <c r="E54" s="110">
        <v>-900</v>
      </c>
      <c r="F54" s="110">
        <v>-900</v>
      </c>
      <c r="G54" s="110">
        <v>-900</v>
      </c>
      <c r="H54" s="110">
        <v>-2000</v>
      </c>
      <c r="I54" s="110">
        <v>-2000</v>
      </c>
      <c r="J54" s="110">
        <v>-2000</v>
      </c>
      <c r="K54" s="110">
        <v>-2000</v>
      </c>
      <c r="L54" s="110">
        <v>-2000</v>
      </c>
      <c r="M54" s="110">
        <v>-2000</v>
      </c>
      <c r="N54" s="96"/>
      <c r="O54" s="148"/>
      <c r="P54" s="91"/>
      <c r="Q54" s="148"/>
    </row>
    <row r="55" spans="1:17" ht="18" customHeight="1" outlineLevel="1">
      <c r="A55" s="195" t="s">
        <v>117</v>
      </c>
      <c r="B55" s="193"/>
      <c r="C55" s="193"/>
      <c r="D55" s="193">
        <v>-280.64999999999998</v>
      </c>
      <c r="E55" s="194"/>
      <c r="F55" s="194"/>
      <c r="G55" s="194"/>
      <c r="H55" s="194"/>
      <c r="I55" s="194"/>
      <c r="J55" s="194"/>
      <c r="K55" s="194"/>
      <c r="L55" s="194"/>
      <c r="M55" s="194"/>
      <c r="N55" s="96"/>
      <c r="O55" s="148"/>
      <c r="P55" s="91"/>
      <c r="Q55" s="148"/>
    </row>
    <row r="56" spans="1:17" ht="18" customHeight="1" outlineLevel="1">
      <c r="A56" s="195" t="s">
        <v>118</v>
      </c>
      <c r="B56" s="193"/>
      <c r="C56" s="193"/>
      <c r="D56" s="193"/>
      <c r="E56" s="194"/>
      <c r="F56" s="194">
        <v>-1521.48</v>
      </c>
      <c r="G56" s="194"/>
      <c r="H56" s="194"/>
      <c r="I56" s="194"/>
      <c r="J56" s="194"/>
      <c r="K56" s="194"/>
      <c r="L56" s="194"/>
      <c r="M56" s="194"/>
      <c r="N56" s="96"/>
      <c r="O56" s="148"/>
      <c r="P56" s="91"/>
      <c r="Q56" s="148"/>
    </row>
    <row r="57" spans="1:17" ht="18" customHeight="1" outlineLevel="1">
      <c r="A57" s="195" t="s">
        <v>119</v>
      </c>
      <c r="B57" s="193"/>
      <c r="C57" s="193"/>
      <c r="D57" s="193"/>
      <c r="E57" s="194"/>
      <c r="F57" s="194">
        <v>-600</v>
      </c>
      <c r="G57" s="194">
        <v>-600</v>
      </c>
      <c r="H57" s="194">
        <v>-600</v>
      </c>
      <c r="I57" s="194">
        <v>-600</v>
      </c>
      <c r="J57" s="194">
        <v>-600</v>
      </c>
      <c r="K57" s="194">
        <v>-600</v>
      </c>
      <c r="L57" s="194">
        <v>-600</v>
      </c>
      <c r="M57" s="194">
        <v>-600</v>
      </c>
      <c r="N57" s="96"/>
      <c r="O57" s="148"/>
      <c r="P57" s="91"/>
      <c r="Q57" s="148"/>
    </row>
    <row r="58" spans="1:17" ht="18" customHeight="1" outlineLevel="1">
      <c r="A58" s="195" t="s">
        <v>120</v>
      </c>
      <c r="B58" s="193">
        <v>-170.1</v>
      </c>
      <c r="C58" s="193">
        <v>-170.1</v>
      </c>
      <c r="D58" s="193">
        <v>-170.1</v>
      </c>
      <c r="E58" s="194">
        <v>-176.18</v>
      </c>
      <c r="F58" s="194">
        <v>-364.5</v>
      </c>
      <c r="G58" s="194">
        <v>-364.5</v>
      </c>
      <c r="H58" s="194">
        <v>-364.5</v>
      </c>
      <c r="I58" s="194">
        <v>-364.5</v>
      </c>
      <c r="J58" s="194">
        <v>-364.5</v>
      </c>
      <c r="K58" s="194">
        <v>-364.5</v>
      </c>
      <c r="L58" s="194">
        <v>-364.5</v>
      </c>
      <c r="M58" s="194">
        <v>-364.5</v>
      </c>
      <c r="N58" s="96"/>
      <c r="O58" s="148"/>
      <c r="P58" s="91"/>
      <c r="Q58" s="148"/>
    </row>
    <row r="59" spans="1:17" ht="18" customHeight="1" outlineLevel="1">
      <c r="A59" s="195" t="s">
        <v>212</v>
      </c>
      <c r="B59" s="193">
        <v>-455</v>
      </c>
      <c r="C59" s="193">
        <v>-455</v>
      </c>
      <c r="D59" s="193">
        <v>-455</v>
      </c>
      <c r="E59" s="194">
        <v>-378.71</v>
      </c>
      <c r="F59" s="194">
        <v>-500</v>
      </c>
      <c r="G59" s="194">
        <v>-850</v>
      </c>
      <c r="H59" s="194">
        <v>-850</v>
      </c>
      <c r="I59" s="194">
        <v>-850</v>
      </c>
      <c r="J59" s="194">
        <v>-1200</v>
      </c>
      <c r="K59" s="194">
        <v>-1200</v>
      </c>
      <c r="L59" s="194">
        <v>-1600</v>
      </c>
      <c r="M59" s="194">
        <v>-1600</v>
      </c>
      <c r="N59" s="96"/>
      <c r="O59" s="148"/>
      <c r="P59" s="91"/>
      <c r="Q59" s="148"/>
    </row>
    <row r="60" spans="1:17" ht="18" customHeight="1" outlineLevel="1">
      <c r="A60" s="195" t="s">
        <v>121</v>
      </c>
      <c r="B60" s="193">
        <v>-69</v>
      </c>
      <c r="C60" s="193">
        <v>-69</v>
      </c>
      <c r="D60" s="193">
        <v>-69</v>
      </c>
      <c r="E60" s="194">
        <v>-69</v>
      </c>
      <c r="F60" s="194">
        <v>-69</v>
      </c>
      <c r="G60" s="194">
        <v>-69</v>
      </c>
      <c r="H60" s="194">
        <v>-69</v>
      </c>
      <c r="I60" s="194">
        <v>-69</v>
      </c>
      <c r="J60" s="194">
        <v>-69</v>
      </c>
      <c r="K60" s="194">
        <v>-69</v>
      </c>
      <c r="L60" s="194">
        <v>-69</v>
      </c>
      <c r="M60" s="194">
        <v>-69</v>
      </c>
      <c r="N60" s="96"/>
      <c r="O60" s="148"/>
      <c r="P60" s="91"/>
      <c r="Q60" s="148"/>
    </row>
    <row r="61" spans="1:17" ht="18" customHeight="1" outlineLevel="1">
      <c r="A61" s="195" t="s">
        <v>122</v>
      </c>
      <c r="B61" s="193">
        <v>-29.99</v>
      </c>
      <c r="C61" s="193">
        <v>-29.99</v>
      </c>
      <c r="D61" s="193">
        <v>-29.99</v>
      </c>
      <c r="E61" s="194">
        <v>-29.99</v>
      </c>
      <c r="F61" s="194">
        <v>-29.99</v>
      </c>
      <c r="G61" s="194">
        <v>-29.99</v>
      </c>
      <c r="H61" s="194">
        <v>-29.99</v>
      </c>
      <c r="I61" s="194">
        <v>-29.99</v>
      </c>
      <c r="J61" s="194">
        <v>-29.99</v>
      </c>
      <c r="K61" s="194">
        <v>-29.99</v>
      </c>
      <c r="L61" s="194">
        <v>-29.99</v>
      </c>
      <c r="M61" s="194">
        <v>-29.99</v>
      </c>
      <c r="N61" s="96"/>
      <c r="O61" s="148"/>
      <c r="P61" s="91"/>
      <c r="Q61" s="148"/>
    </row>
    <row r="62" spans="1:17" ht="18" customHeight="1" outlineLevel="1">
      <c r="A62" s="195" t="s">
        <v>123</v>
      </c>
      <c r="B62" s="193"/>
      <c r="C62" s="193"/>
      <c r="D62" s="193"/>
      <c r="E62" s="194"/>
      <c r="F62" s="194">
        <v>-315.36</v>
      </c>
      <c r="G62" s="194"/>
      <c r="H62" s="194"/>
      <c r="I62" s="194"/>
      <c r="J62" s="194"/>
      <c r="K62" s="194"/>
      <c r="L62" s="194"/>
      <c r="M62" s="194"/>
      <c r="N62" s="96"/>
      <c r="O62" s="148"/>
      <c r="P62" s="91"/>
      <c r="Q62" s="148"/>
    </row>
    <row r="63" spans="1:17" ht="18" customHeight="1" outlineLevel="1">
      <c r="A63" s="195" t="s">
        <v>124</v>
      </c>
      <c r="B63" s="193">
        <v>-97.22</v>
      </c>
      <c r="C63" s="193">
        <v>-97.22</v>
      </c>
      <c r="D63" s="193">
        <v>-99.65</v>
      </c>
      <c r="E63" s="194">
        <v>-95.38</v>
      </c>
      <c r="F63" s="194">
        <v>-170</v>
      </c>
      <c r="G63" s="194">
        <v>-170</v>
      </c>
      <c r="H63" s="194">
        <v>-170</v>
      </c>
      <c r="I63" s="194">
        <v>-170</v>
      </c>
      <c r="J63" s="194">
        <v>-170</v>
      </c>
      <c r="K63" s="194">
        <v>-170</v>
      </c>
      <c r="L63" s="194">
        <v>-170</v>
      </c>
      <c r="M63" s="194">
        <v>-170</v>
      </c>
      <c r="N63" s="96"/>
      <c r="O63" s="148"/>
      <c r="P63" s="91"/>
      <c r="Q63" s="148"/>
    </row>
    <row r="64" spans="1:17" ht="18" customHeight="1" outlineLevel="1">
      <c r="A64" s="195" t="s">
        <v>213</v>
      </c>
      <c r="B64" s="193"/>
      <c r="C64" s="193"/>
      <c r="D64" s="193"/>
      <c r="E64" s="194">
        <f>-5.07-25.5</f>
        <v>-30.57</v>
      </c>
      <c r="F64" s="194">
        <v>-2500</v>
      </c>
      <c r="G64" s="194">
        <v>-5000</v>
      </c>
      <c r="H64" s="194">
        <v>-5000</v>
      </c>
      <c r="I64" s="194">
        <v>-5000</v>
      </c>
      <c r="J64" s="194">
        <v>-5000</v>
      </c>
      <c r="K64" s="194">
        <v>-5000</v>
      </c>
      <c r="L64" s="194">
        <v>-5000</v>
      </c>
      <c r="M64" s="194">
        <v>-5000</v>
      </c>
      <c r="N64" s="96"/>
      <c r="O64" s="148"/>
      <c r="P64" s="91"/>
      <c r="Q64" s="148"/>
    </row>
    <row r="65" spans="1:20" ht="18" customHeight="1" outlineLevel="1">
      <c r="A65" s="147" t="s">
        <v>153</v>
      </c>
      <c r="B65" s="192">
        <v>-90</v>
      </c>
      <c r="C65" s="192">
        <v>-90</v>
      </c>
      <c r="D65" s="192">
        <v>-90</v>
      </c>
      <c r="E65" s="110">
        <v>-90</v>
      </c>
      <c r="F65" s="110">
        <v>-90</v>
      </c>
      <c r="G65" s="110">
        <v>-90</v>
      </c>
      <c r="H65" s="110">
        <v>-90</v>
      </c>
      <c r="I65" s="110">
        <v>-90</v>
      </c>
      <c r="J65" s="110">
        <v>-90</v>
      </c>
      <c r="K65" s="110">
        <v>-90</v>
      </c>
      <c r="L65" s="110">
        <v>-90</v>
      </c>
      <c r="M65" s="110">
        <v>-90</v>
      </c>
      <c r="N65" s="96"/>
      <c r="O65" s="148"/>
      <c r="P65" s="91"/>
      <c r="Q65" s="148"/>
    </row>
    <row r="66" spans="1:20" ht="18" customHeight="1" outlineLevel="1">
      <c r="A66" s="155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24"/>
      <c r="O66" s="149"/>
      <c r="P66" s="91"/>
      <c r="Q66" s="149"/>
    </row>
    <row r="67" spans="1:20" ht="18" customHeight="1" outlineLevel="1">
      <c r="A67" s="166" t="s">
        <v>125</v>
      </c>
      <c r="B67" s="167">
        <f t="shared" ref="B67:O67" si="10">SUM(B68:B70)</f>
        <v>0</v>
      </c>
      <c r="C67" s="167">
        <f t="shared" si="10"/>
        <v>-2525.9</v>
      </c>
      <c r="D67" s="167">
        <f t="shared" si="10"/>
        <v>-3262.23</v>
      </c>
      <c r="E67" s="167">
        <f t="shared" si="10"/>
        <v>-7176.9400000000005</v>
      </c>
      <c r="F67" s="167">
        <f t="shared" si="10"/>
        <v>-14720.48</v>
      </c>
      <c r="G67" s="167">
        <f t="shared" si="10"/>
        <v>-22311.729999999996</v>
      </c>
      <c r="H67" s="167">
        <f t="shared" si="10"/>
        <v>-26396.829999999998</v>
      </c>
      <c r="I67" s="167">
        <f t="shared" si="10"/>
        <v>-18762.43</v>
      </c>
      <c r="J67" s="167">
        <f t="shared" si="10"/>
        <v>-18762.43</v>
      </c>
      <c r="K67" s="167">
        <f t="shared" si="10"/>
        <v>-18762.43</v>
      </c>
      <c r="L67" s="167">
        <f t="shared" si="10"/>
        <v>-18587.629999999997</v>
      </c>
      <c r="M67" s="167">
        <f t="shared" si="10"/>
        <v>-15504.67</v>
      </c>
      <c r="N67" s="167">
        <f t="shared" si="10"/>
        <v>0</v>
      </c>
      <c r="O67" s="167">
        <f t="shared" si="10"/>
        <v>0</v>
      </c>
      <c r="P67" s="91"/>
      <c r="Q67" s="167">
        <f>SUM(B67:O67)</f>
        <v>-166773.70000000001</v>
      </c>
    </row>
    <row r="68" spans="1:20" ht="18" customHeight="1" outlineLevel="1">
      <c r="A68" s="147" t="s">
        <v>148</v>
      </c>
      <c r="B68" s="129">
        <f>REEMBOLSO!B58+REEMBOLSO!B23</f>
        <v>0</v>
      </c>
      <c r="C68" s="129">
        <f>REEMBOLSO!C58+REEMBOLSO!C23</f>
        <v>0</v>
      </c>
      <c r="D68" s="129">
        <f>REEMBOLSO!D58+REEMBOLSO!D23</f>
        <v>0</v>
      </c>
      <c r="E68" s="129">
        <f>REEMBOLSO!E58+REEMBOLSO!E23</f>
        <v>-785.99</v>
      </c>
      <c r="F68" s="129">
        <f>REEMBOLSO!F58+REEMBOLSO!F23</f>
        <v>-422</v>
      </c>
      <c r="G68" s="129">
        <f>REEMBOLSO!G58+REEMBOLSO!G23</f>
        <v>-1537.23</v>
      </c>
      <c r="H68" s="129">
        <f>REEMBOLSO!H58+REEMBOLSO!H23</f>
        <v>-3183</v>
      </c>
      <c r="I68" s="129">
        <f>REEMBOLSO!I58+REEMBOLSO!I23</f>
        <v>-2210</v>
      </c>
      <c r="J68" s="129">
        <f>REEMBOLSO!J58+REEMBOLSO!J23</f>
        <v>-2210</v>
      </c>
      <c r="K68" s="129">
        <f>REEMBOLSO!K58+REEMBOLSO!K23</f>
        <v>-2210</v>
      </c>
      <c r="L68" s="129">
        <f>REEMBOLSO!L58+REEMBOLSO!L23</f>
        <v>-2210</v>
      </c>
      <c r="M68" s="129">
        <f>REEMBOLSO!M58+REEMBOLSO!M23</f>
        <v>-2210</v>
      </c>
      <c r="N68" s="129"/>
      <c r="O68" s="129"/>
      <c r="P68" s="91"/>
      <c r="Q68" s="129">
        <f>SUM(B68:O68)</f>
        <v>-16978.22</v>
      </c>
    </row>
    <row r="69" spans="1:20" ht="18" customHeight="1" outlineLevel="1">
      <c r="A69" s="147" t="s">
        <v>149</v>
      </c>
      <c r="B69" s="129">
        <f>REEMBOLSO!B34+REEMBOLSO!B61</f>
        <v>0</v>
      </c>
      <c r="C69" s="129">
        <f>REEMBOLSO!C34+REEMBOLSO!C61</f>
        <v>-2525.9</v>
      </c>
      <c r="D69" s="129">
        <f>REEMBOLSO!D34+REEMBOLSO!D61</f>
        <v>-2668.23</v>
      </c>
      <c r="E69" s="129">
        <f>REEMBOLSO!E34+REEMBOLSO!E61</f>
        <v>-5227.3100000000013</v>
      </c>
      <c r="F69" s="129">
        <f>REEMBOLSO!F34+REEMBOLSO!F61</f>
        <v>-8905.48</v>
      </c>
      <c r="G69" s="129">
        <f>REEMBOLSO!G34+REEMBOLSO!G61</f>
        <v>-10997.22</v>
      </c>
      <c r="H69" s="129">
        <f>REEMBOLSO!H34+REEMBOLSO!H61</f>
        <v>-13868.779999999999</v>
      </c>
      <c r="I69" s="129">
        <f>REEMBOLSO!I34+REEMBOLSO!I61</f>
        <v>-12145.23</v>
      </c>
      <c r="J69" s="129">
        <f>REEMBOLSO!J34+REEMBOLSO!J61</f>
        <v>-12145.23</v>
      </c>
      <c r="K69" s="129">
        <f>REEMBOLSO!K34+REEMBOLSO!K61</f>
        <v>-12145.23</v>
      </c>
      <c r="L69" s="129">
        <f>REEMBOLSO!L34+REEMBOLSO!L61</f>
        <v>-12145.23</v>
      </c>
      <c r="M69" s="129">
        <f>REEMBOLSO!M34+REEMBOLSO!M61</f>
        <v>-9062.27</v>
      </c>
      <c r="N69" s="129"/>
      <c r="O69" s="129"/>
      <c r="P69" s="91"/>
      <c r="Q69" s="129">
        <f>SUM(B69:O69)</f>
        <v>-101836.10999999999</v>
      </c>
    </row>
    <row r="70" spans="1:20" ht="18" customHeight="1" outlineLevel="1">
      <c r="A70" s="147" t="s">
        <v>150</v>
      </c>
      <c r="B70" s="129">
        <f>REEMBOLSO!B52+REEMBOLSO!B3</f>
        <v>0</v>
      </c>
      <c r="C70" s="129">
        <f>REEMBOLSO!C52+REEMBOLSO!C3</f>
        <v>0</v>
      </c>
      <c r="D70" s="129">
        <f>REEMBOLSO!D52+REEMBOLSO!D3</f>
        <v>-594</v>
      </c>
      <c r="E70" s="129">
        <f>REEMBOLSO!E52+REEMBOLSO!E3</f>
        <v>-1163.6399999999999</v>
      </c>
      <c r="F70" s="129">
        <f>REEMBOLSO!F52+REEMBOLSO!F3</f>
        <v>-5393</v>
      </c>
      <c r="G70" s="129">
        <f>REEMBOLSO!G52+REEMBOLSO!G3</f>
        <v>-9777.2799999999988</v>
      </c>
      <c r="H70" s="129">
        <f>REEMBOLSO!H52+REEMBOLSO!H3</f>
        <v>-9345.0499999999993</v>
      </c>
      <c r="I70" s="129">
        <f>REEMBOLSO!I52+REEMBOLSO!I3</f>
        <v>-4407.2</v>
      </c>
      <c r="J70" s="129">
        <f>REEMBOLSO!J52+REEMBOLSO!J3</f>
        <v>-4407.2</v>
      </c>
      <c r="K70" s="129">
        <f>REEMBOLSO!K52+REEMBOLSO!K3</f>
        <v>-4407.2</v>
      </c>
      <c r="L70" s="129">
        <f>REEMBOLSO!L52+REEMBOLSO!L3</f>
        <v>-4232.3999999999996</v>
      </c>
      <c r="M70" s="129">
        <f>REEMBOLSO!M52+REEMBOLSO!M3</f>
        <v>-4232.3999999999996</v>
      </c>
      <c r="N70" s="129"/>
      <c r="O70" s="129"/>
      <c r="P70" s="91"/>
      <c r="Q70" s="129">
        <f>SUM(B70:O70)</f>
        <v>-47959.369999999995</v>
      </c>
    </row>
    <row r="71" spans="1:20" ht="18" customHeight="1" outlineLevel="1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91"/>
      <c r="Q71" s="129"/>
    </row>
    <row r="72" spans="1:20" ht="18" customHeight="1">
      <c r="A72" s="127" t="s">
        <v>152</v>
      </c>
      <c r="B72" s="126">
        <f>SUM(B73:B75)</f>
        <v>-10000</v>
      </c>
      <c r="C72" s="126">
        <f t="shared" ref="C72:M72" si="11">SUM(C73:C75)</f>
        <v>0</v>
      </c>
      <c r="D72" s="126">
        <f t="shared" si="11"/>
        <v>245</v>
      </c>
      <c r="E72" s="126">
        <f t="shared" si="11"/>
        <v>0</v>
      </c>
      <c r="F72" s="126">
        <f t="shared" si="11"/>
        <v>0</v>
      </c>
      <c r="G72" s="126">
        <f t="shared" si="11"/>
        <v>-48208.280000000006</v>
      </c>
      <c r="H72" s="126">
        <f t="shared" si="11"/>
        <v>-46747.229999999996</v>
      </c>
      <c r="I72" s="126">
        <f t="shared" si="11"/>
        <v>-46747.229999999996</v>
      </c>
      <c r="J72" s="126">
        <f t="shared" si="11"/>
        <v>-46747.229999999996</v>
      </c>
      <c r="K72" s="126">
        <f t="shared" si="11"/>
        <v>-58747.229999999996</v>
      </c>
      <c r="L72" s="126">
        <f t="shared" si="11"/>
        <v>-58747.229999999996</v>
      </c>
      <c r="M72" s="126">
        <f t="shared" si="11"/>
        <v>-58747.229999999996</v>
      </c>
      <c r="N72" s="126"/>
      <c r="O72" s="126"/>
      <c r="P72" s="91"/>
      <c r="Q72" s="126"/>
    </row>
    <row r="73" spans="1:20" ht="18" customHeight="1" outlineLevel="1">
      <c r="A73" s="147" t="str">
        <f>A68</f>
        <v>(-) KAIQUE</v>
      </c>
      <c r="B73" s="129">
        <v>-10000</v>
      </c>
      <c r="C73" s="129"/>
      <c r="D73" s="129">
        <v>-10000</v>
      </c>
      <c r="E73" s="129"/>
      <c r="F73" s="129"/>
      <c r="G73" s="129">
        <f>-13000-1992.26-(1035.5*2)</f>
        <v>-17063.260000000002</v>
      </c>
      <c r="H73" s="129">
        <v>-16000</v>
      </c>
      <c r="I73" s="129">
        <v>-16000</v>
      </c>
      <c r="J73" s="129">
        <v>-16000</v>
      </c>
      <c r="K73" s="129">
        <v>-20000</v>
      </c>
      <c r="L73" s="129">
        <v>-20000</v>
      </c>
      <c r="M73" s="129">
        <v>-20000</v>
      </c>
      <c r="N73" s="129"/>
      <c r="O73" s="129"/>
      <c r="P73" s="91"/>
      <c r="Q73" s="129"/>
    </row>
    <row r="74" spans="1:20" ht="18" customHeight="1" outlineLevel="1">
      <c r="A74" s="147" t="str">
        <f>A69</f>
        <v>(-) MOHAMAD</v>
      </c>
      <c r="B74" s="129"/>
      <c r="C74" s="129"/>
      <c r="D74" s="129"/>
      <c r="E74" s="129"/>
      <c r="F74" s="129"/>
      <c r="G74" s="129">
        <f>-13000-1992.26-125</f>
        <v>-15117.26</v>
      </c>
      <c r="H74" s="129">
        <v>-16000</v>
      </c>
      <c r="I74" s="129">
        <v>-16000</v>
      </c>
      <c r="J74" s="129">
        <v>-16000</v>
      </c>
      <c r="K74" s="129">
        <v>-20000</v>
      </c>
      <c r="L74" s="129">
        <v>-20000</v>
      </c>
      <c r="M74" s="129">
        <v>-20000</v>
      </c>
      <c r="N74" s="129"/>
      <c r="O74" s="129"/>
      <c r="P74" s="91"/>
      <c r="Q74" s="129"/>
    </row>
    <row r="75" spans="1:20" ht="18" customHeight="1" outlineLevel="1">
      <c r="A75" s="147" t="str">
        <f>A70</f>
        <v>(-) SABA</v>
      </c>
      <c r="B75" s="129"/>
      <c r="C75" s="129"/>
      <c r="D75" s="129">
        <v>10245</v>
      </c>
      <c r="E75" s="129"/>
      <c r="F75" s="129"/>
      <c r="G75" s="129">
        <f>-13000-1992.26-1035.5</f>
        <v>-16027.76</v>
      </c>
      <c r="H75" s="129">
        <f t="shared" ref="H75:J75" si="12">-16000+1252.77</f>
        <v>-14747.23</v>
      </c>
      <c r="I75" s="129">
        <f t="shared" si="12"/>
        <v>-14747.23</v>
      </c>
      <c r="J75" s="129">
        <f t="shared" si="12"/>
        <v>-14747.23</v>
      </c>
      <c r="K75" s="129">
        <f>-20000+1252.77</f>
        <v>-18747.23</v>
      </c>
      <c r="L75" s="129">
        <f t="shared" ref="L75:M75" si="13">-20000+1252.77</f>
        <v>-18747.23</v>
      </c>
      <c r="M75" s="129">
        <f t="shared" si="13"/>
        <v>-18747.23</v>
      </c>
      <c r="N75" s="129"/>
      <c r="O75" s="129"/>
      <c r="P75" s="91"/>
      <c r="Q75" s="129"/>
    </row>
    <row r="76" spans="1:20" ht="18" customHeight="1">
      <c r="A76" s="128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91"/>
      <c r="Q76" s="129"/>
    </row>
    <row r="77" spans="1:20" ht="18" customHeight="1">
      <c r="A77" s="121" t="s">
        <v>94</v>
      </c>
      <c r="B77" s="122">
        <f t="shared" ref="B77:O77" si="14">B21+B23+B72</f>
        <v>-26902.52</v>
      </c>
      <c r="C77" s="122">
        <f t="shared" si="14"/>
        <v>-6926.8499999999985</v>
      </c>
      <c r="D77" s="122">
        <f t="shared" si="14"/>
        <v>29600.780000000002</v>
      </c>
      <c r="E77" s="122">
        <f t="shared" si="14"/>
        <v>41595.17</v>
      </c>
      <c r="F77" s="122">
        <f t="shared" si="14"/>
        <v>5368.0059999999939</v>
      </c>
      <c r="G77" s="122">
        <f t="shared" si="14"/>
        <v>179732.71000000005</v>
      </c>
      <c r="H77" s="122">
        <f t="shared" si="14"/>
        <v>88948.85657142858</v>
      </c>
      <c r="I77" s="122">
        <f t="shared" si="14"/>
        <v>19580.166000000012</v>
      </c>
      <c r="J77" s="122">
        <f t="shared" si="14"/>
        <v>140636.25</v>
      </c>
      <c r="K77" s="122">
        <f t="shared" si="14"/>
        <v>92583.544285714292</v>
      </c>
      <c r="L77" s="122">
        <f t="shared" si="14"/>
        <v>-29951.434000000023</v>
      </c>
      <c r="M77" s="122">
        <f t="shared" si="14"/>
        <v>37384.655999999974</v>
      </c>
      <c r="N77" s="122">
        <f t="shared" si="14"/>
        <v>89103.055999999982</v>
      </c>
      <c r="O77" s="122">
        <f t="shared" si="14"/>
        <v>250032.25599999999</v>
      </c>
      <c r="P77" s="91"/>
      <c r="Q77" s="122">
        <f>SUM(B77:O77)</f>
        <v>910784.64685714291</v>
      </c>
      <c r="R77" s="130">
        <f>Q77/Q21</f>
        <v>0.28317311196887196</v>
      </c>
      <c r="T77">
        <v>1006563.6500000001</v>
      </c>
    </row>
    <row r="78" spans="1:20" ht="18" customHeight="1">
      <c r="A78" s="102" t="s">
        <v>95</v>
      </c>
      <c r="B78" s="91"/>
      <c r="C78" s="91"/>
      <c r="D78" s="122">
        <f>D77</f>
        <v>29600.780000000002</v>
      </c>
      <c r="E78" s="122">
        <f>D78+E77</f>
        <v>71195.95</v>
      </c>
      <c r="F78" s="122">
        <f>E78+F77</f>
        <v>76563.955999999991</v>
      </c>
      <c r="G78" s="122">
        <f t="shared" ref="G78:O78" si="15">F78+G77</f>
        <v>256296.66600000003</v>
      </c>
      <c r="H78" s="122">
        <f t="shared" si="15"/>
        <v>345245.52257142862</v>
      </c>
      <c r="I78" s="122">
        <f t="shared" si="15"/>
        <v>364825.68857142865</v>
      </c>
      <c r="J78" s="122">
        <f t="shared" si="15"/>
        <v>505461.93857142865</v>
      </c>
      <c r="K78" s="122">
        <f t="shared" si="15"/>
        <v>598045.48285714292</v>
      </c>
      <c r="L78" s="122">
        <f t="shared" si="15"/>
        <v>568094.04885714292</v>
      </c>
      <c r="M78" s="122">
        <f t="shared" si="15"/>
        <v>605478.70485714287</v>
      </c>
      <c r="N78" s="122">
        <f t="shared" si="15"/>
        <v>694581.76085714286</v>
      </c>
      <c r="O78" s="122">
        <f t="shared" si="15"/>
        <v>944614.01685714279</v>
      </c>
      <c r="P78" s="91"/>
      <c r="T78" s="133">
        <f>Q77-T77</f>
        <v>-95779.003142857226</v>
      </c>
    </row>
    <row r="79" spans="1:20" ht="18" customHeight="1">
      <c r="A79" s="102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</row>
    <row r="80" spans="1:20" ht="18" customHeight="1">
      <c r="A80" s="127" t="s">
        <v>96</v>
      </c>
      <c r="B80" s="126">
        <f t="shared" ref="B80:O80" si="16">SUM(B81:B82)</f>
        <v>0</v>
      </c>
      <c r="C80" s="126">
        <f t="shared" si="16"/>
        <v>0</v>
      </c>
      <c r="D80" s="126">
        <f t="shared" si="16"/>
        <v>0</v>
      </c>
      <c r="E80" s="126">
        <f t="shared" si="16"/>
        <v>0</v>
      </c>
      <c r="F80" s="126">
        <f t="shared" si="16"/>
        <v>0</v>
      </c>
      <c r="G80" s="126">
        <f t="shared" si="16"/>
        <v>0</v>
      </c>
      <c r="H80" s="126">
        <f t="shared" si="16"/>
        <v>0</v>
      </c>
      <c r="I80" s="126">
        <f t="shared" si="16"/>
        <v>0</v>
      </c>
      <c r="J80" s="126">
        <f t="shared" si="16"/>
        <v>0</v>
      </c>
      <c r="K80" s="126">
        <f t="shared" si="16"/>
        <v>0</v>
      </c>
      <c r="L80" s="126">
        <f t="shared" si="16"/>
        <v>0</v>
      </c>
      <c r="M80" s="126">
        <f t="shared" si="16"/>
        <v>-271759.3961904762</v>
      </c>
      <c r="N80" s="126">
        <f t="shared" si="16"/>
        <v>0</v>
      </c>
      <c r="O80" s="126">
        <f t="shared" si="16"/>
        <v>0</v>
      </c>
      <c r="P80" s="91"/>
      <c r="Q80" s="126">
        <f>SUM(B80:O80)</f>
        <v>-271759.3961904762</v>
      </c>
      <c r="T80">
        <f>7000*12</f>
        <v>84000</v>
      </c>
    </row>
    <row r="81" spans="1:19" ht="18" customHeight="1" outlineLevel="1">
      <c r="A81" s="131" t="s">
        <v>97</v>
      </c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>
        <f>(Q25+Q34)/12</f>
        <v>-135879.6980952381</v>
      </c>
      <c r="N81" s="190"/>
      <c r="O81" s="190"/>
      <c r="P81" s="91"/>
      <c r="Q81" s="190">
        <f>SUM(B81:O81)</f>
        <v>-135879.6980952381</v>
      </c>
    </row>
    <row r="82" spans="1:19" ht="18" customHeight="1" outlineLevel="1">
      <c r="A82" s="132" t="s">
        <v>98</v>
      </c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>
        <f>(Q25+Q34)/12</f>
        <v>-135879.6980952381</v>
      </c>
      <c r="N82" s="191"/>
      <c r="O82" s="191"/>
      <c r="P82" s="91"/>
      <c r="Q82" s="191">
        <f>SUM(B82:O82)</f>
        <v>-135879.6980952381</v>
      </c>
      <c r="S82" s="133"/>
    </row>
    <row r="83" spans="1:19" ht="18" customHeight="1">
      <c r="A83" s="102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1"/>
    </row>
    <row r="84" spans="1:19" ht="18" customHeight="1">
      <c r="A84" s="121" t="s">
        <v>99</v>
      </c>
      <c r="B84" s="122">
        <f>B77-B80</f>
        <v>-26902.52</v>
      </c>
      <c r="C84" s="122">
        <f t="shared" ref="C84:O84" si="17">C77-C80</f>
        <v>-6926.8499999999985</v>
      </c>
      <c r="D84" s="122">
        <f t="shared" si="17"/>
        <v>29600.780000000002</v>
      </c>
      <c r="E84" s="122">
        <f t="shared" si="17"/>
        <v>41595.17</v>
      </c>
      <c r="F84" s="122">
        <f t="shared" si="17"/>
        <v>5368.0059999999939</v>
      </c>
      <c r="G84" s="122">
        <f t="shared" si="17"/>
        <v>179732.71000000005</v>
      </c>
      <c r="H84" s="122">
        <f t="shared" si="17"/>
        <v>88948.85657142858</v>
      </c>
      <c r="I84" s="122">
        <f t="shared" si="17"/>
        <v>19580.166000000012</v>
      </c>
      <c r="J84" s="122">
        <f t="shared" si="17"/>
        <v>140636.25</v>
      </c>
      <c r="K84" s="122">
        <f t="shared" si="17"/>
        <v>92583.544285714292</v>
      </c>
      <c r="L84" s="122">
        <f t="shared" si="17"/>
        <v>-29951.434000000023</v>
      </c>
      <c r="M84" s="122">
        <f t="shared" si="17"/>
        <v>309144.05219047616</v>
      </c>
      <c r="N84" s="122">
        <f t="shared" si="17"/>
        <v>89103.055999999982</v>
      </c>
      <c r="O84" s="122">
        <f t="shared" si="17"/>
        <v>250032.25599999999</v>
      </c>
      <c r="P84" s="91"/>
      <c r="Q84" s="122">
        <f>Q77+Q80</f>
        <v>639025.25066666678</v>
      </c>
      <c r="R84" s="130">
        <f>Q84/Q21</f>
        <v>0.19868008258855877</v>
      </c>
      <c r="S84" s="5"/>
    </row>
    <row r="85" spans="1:19" ht="18" customHeight="1">
      <c r="A85" s="102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1"/>
    </row>
    <row r="86" spans="1:19" ht="18" customHeight="1">
      <c r="A86" s="134" t="s">
        <v>100</v>
      </c>
      <c r="B86" s="135">
        <f>SUM(B87:B89)</f>
        <v>3600</v>
      </c>
      <c r="C86" s="136">
        <f t="shared" ref="C86:O86" si="18">SUM(C87:C89)</f>
        <v>5100</v>
      </c>
      <c r="D86" s="135">
        <f t="shared" si="18"/>
        <v>30000</v>
      </c>
      <c r="E86" s="136">
        <f t="shared" si="18"/>
        <v>39000</v>
      </c>
      <c r="F86" s="135">
        <f t="shared" si="18"/>
        <v>45000</v>
      </c>
      <c r="G86" s="135">
        <f t="shared" si="18"/>
        <v>0</v>
      </c>
      <c r="H86" s="136">
        <f t="shared" si="18"/>
        <v>0</v>
      </c>
      <c r="I86" s="135">
        <f t="shared" si="18"/>
        <v>0</v>
      </c>
      <c r="J86" s="136">
        <f t="shared" si="18"/>
        <v>0</v>
      </c>
      <c r="K86" s="135">
        <f t="shared" si="18"/>
        <v>0</v>
      </c>
      <c r="L86" s="136">
        <f t="shared" si="18"/>
        <v>0</v>
      </c>
      <c r="M86" s="135">
        <f t="shared" si="18"/>
        <v>0</v>
      </c>
      <c r="N86" s="136">
        <f t="shared" si="18"/>
        <v>0</v>
      </c>
      <c r="O86" s="135">
        <f t="shared" si="18"/>
        <v>0</v>
      </c>
      <c r="P86" s="91"/>
      <c r="Q86" s="137">
        <f>SUM(B86:O86)</f>
        <v>122700</v>
      </c>
    </row>
    <row r="87" spans="1:19" ht="18" customHeight="1" outlineLevel="1">
      <c r="A87" s="101" t="s">
        <v>101</v>
      </c>
      <c r="B87" s="95">
        <v>1200</v>
      </c>
      <c r="C87" s="95">
        <v>1700</v>
      </c>
      <c r="D87" s="138">
        <v>10000</v>
      </c>
      <c r="E87" s="139">
        <v>13000</v>
      </c>
      <c r="F87" s="139">
        <v>15000</v>
      </c>
      <c r="G87" s="139"/>
      <c r="H87" s="97"/>
      <c r="I87" s="95"/>
      <c r="J87" s="95"/>
      <c r="K87" s="95"/>
      <c r="L87" s="95"/>
      <c r="M87" s="140"/>
      <c r="N87" s="123"/>
      <c r="O87" s="111"/>
      <c r="P87" s="91"/>
      <c r="Q87" s="123">
        <f>SUM(B87:M87)</f>
        <v>40900</v>
      </c>
    </row>
    <row r="88" spans="1:19" ht="18" customHeight="1" outlineLevel="1">
      <c r="A88" s="101" t="s">
        <v>102</v>
      </c>
      <c r="B88" s="95">
        <v>1200</v>
      </c>
      <c r="C88" s="95">
        <v>1700</v>
      </c>
      <c r="D88" s="110">
        <v>10000</v>
      </c>
      <c r="E88" s="140">
        <v>13000</v>
      </c>
      <c r="F88" s="140">
        <v>15000</v>
      </c>
      <c r="G88" s="140"/>
      <c r="H88" s="97"/>
      <c r="I88" s="95"/>
      <c r="J88" s="95"/>
      <c r="K88" s="95"/>
      <c r="L88" s="95"/>
      <c r="M88" s="140"/>
      <c r="N88" s="96"/>
      <c r="O88" s="111"/>
      <c r="P88" s="91"/>
      <c r="Q88" s="96">
        <f>SUM(B88:M88)</f>
        <v>40900</v>
      </c>
    </row>
    <row r="89" spans="1:19" ht="18" customHeight="1" outlineLevel="1">
      <c r="A89" s="141" t="s">
        <v>103</v>
      </c>
      <c r="B89" s="142">
        <v>1200</v>
      </c>
      <c r="C89" s="142">
        <v>1700</v>
      </c>
      <c r="D89" s="143">
        <v>10000</v>
      </c>
      <c r="E89" s="144">
        <v>13000</v>
      </c>
      <c r="F89" s="144">
        <v>15000</v>
      </c>
      <c r="G89" s="144"/>
      <c r="H89" s="156"/>
      <c r="I89" s="142"/>
      <c r="J89" s="142"/>
      <c r="K89" s="142"/>
      <c r="L89" s="142"/>
      <c r="M89" s="144"/>
      <c r="N89" s="124"/>
      <c r="O89" s="145"/>
      <c r="P89" s="91"/>
      <c r="Q89" s="124">
        <f>SUM(B89:M89)</f>
        <v>40900</v>
      </c>
    </row>
    <row r="90" spans="1:19" ht="18" customHeight="1">
      <c r="A90" s="102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1"/>
    </row>
    <row r="91" spans="1:19" ht="18" customHeight="1">
      <c r="A91" s="121" t="s">
        <v>104</v>
      </c>
      <c r="B91" s="122">
        <f>B84-B86</f>
        <v>-30502.52</v>
      </c>
      <c r="C91" s="122">
        <f>C84-C86</f>
        <v>-12026.849999999999</v>
      </c>
      <c r="D91" s="122">
        <f t="shared" ref="D91:O91" si="19">D84-D86</f>
        <v>-399.21999999999753</v>
      </c>
      <c r="E91" s="122">
        <f t="shared" si="19"/>
        <v>2595.1699999999983</v>
      </c>
      <c r="F91" s="122">
        <f t="shared" si="19"/>
        <v>-39631.994000000006</v>
      </c>
      <c r="G91" s="122">
        <f t="shared" si="19"/>
        <v>179732.71000000005</v>
      </c>
      <c r="H91" s="122">
        <f t="shared" si="19"/>
        <v>88948.85657142858</v>
      </c>
      <c r="I91" s="122">
        <f t="shared" si="19"/>
        <v>19580.166000000012</v>
      </c>
      <c r="J91" s="122">
        <f t="shared" si="19"/>
        <v>140636.25</v>
      </c>
      <c r="K91" s="122">
        <f t="shared" si="19"/>
        <v>92583.544285714292</v>
      </c>
      <c r="L91" s="122">
        <f t="shared" si="19"/>
        <v>-29951.434000000023</v>
      </c>
      <c r="M91" s="122">
        <f t="shared" si="19"/>
        <v>309144.05219047616</v>
      </c>
      <c r="N91" s="122">
        <f t="shared" si="19"/>
        <v>89103.055999999982</v>
      </c>
      <c r="O91" s="122">
        <f t="shared" si="19"/>
        <v>250032.25599999999</v>
      </c>
      <c r="P91" s="91"/>
      <c r="Q91" s="122">
        <f>Q84-Q86</f>
        <v>516325.25066666678</v>
      </c>
      <c r="R91" s="130">
        <f>Q91/Q21</f>
        <v>0.1605312831347287</v>
      </c>
      <c r="S91" s="5"/>
    </row>
    <row r="92" spans="1:19" ht="13.5" customHeight="1">
      <c r="A92" s="102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</row>
    <row r="93" spans="1:19" ht="13.5" customHeight="1">
      <c r="A93" s="102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5"/>
    </row>
    <row r="94" spans="1:19" ht="13.5" customHeight="1">
      <c r="A94" s="102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</row>
    <row r="95" spans="1:19" ht="13.5" customHeight="1">
      <c r="A95" s="102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5">
        <f>Q91*5%</f>
        <v>25816.262533333342</v>
      </c>
    </row>
    <row r="96" spans="1:19" ht="13.5" customHeight="1">
      <c r="A96" s="102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</row>
    <row r="97" spans="1:16" ht="13.5" customHeight="1">
      <c r="A97" s="102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</row>
    <row r="98" spans="1:16" ht="13.5" customHeight="1">
      <c r="A98" s="102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</row>
    <row r="99" spans="1:16" ht="13.5" customHeight="1">
      <c r="A99" s="102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spans="1:16" ht="13.5" customHeight="1">
      <c r="A100" s="102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</row>
    <row r="101" spans="1:16" ht="13.5" customHeight="1">
      <c r="A101" s="102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</row>
    <row r="102" spans="1:16" ht="13.5" customHeight="1">
      <c r="A102" s="102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</row>
    <row r="103" spans="1:16" ht="13.5" customHeight="1">
      <c r="A103" s="102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</row>
    <row r="104" spans="1:16" ht="13.5" customHeight="1">
      <c r="A104" s="102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</row>
    <row r="105" spans="1:16" ht="13.5" customHeight="1">
      <c r="A105" s="102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spans="1:16" ht="13.5" customHeight="1">
      <c r="A106" s="102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spans="1:16" ht="13.5" customHeight="1">
      <c r="A107" s="102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spans="1:16" ht="13.5" customHeight="1">
      <c r="A108" s="102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</row>
    <row r="109" spans="1:16" ht="13.5" customHeight="1">
      <c r="A109" s="102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</row>
    <row r="110" spans="1:16" ht="13.5" customHeight="1">
      <c r="A110" s="102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</row>
    <row r="111" spans="1:16" ht="13.5" customHeight="1">
      <c r="A111" s="102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</row>
    <row r="112" spans="1:16" ht="13.5" customHeight="1">
      <c r="A112" s="102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</row>
    <row r="113" spans="1:16" ht="13.5" customHeight="1">
      <c r="A113" s="102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</row>
    <row r="114" spans="1:16" ht="13.5" customHeight="1">
      <c r="A114" s="102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</row>
    <row r="115" spans="1:16" ht="13.5" customHeight="1">
      <c r="A115" s="102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</row>
    <row r="116" spans="1:16" ht="13.5" customHeight="1">
      <c r="A116" s="102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</row>
    <row r="117" spans="1:16" ht="13.5" customHeight="1">
      <c r="A117" s="102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</row>
    <row r="118" spans="1:16" ht="13.5" customHeight="1">
      <c r="A118" s="102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</row>
    <row r="119" spans="1:16" ht="13.5" customHeight="1">
      <c r="A119" s="102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</row>
    <row r="120" spans="1:16" ht="13.5" customHeight="1">
      <c r="A120" s="102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</row>
    <row r="121" spans="1:16" ht="13.5" customHeight="1">
      <c r="A121" s="102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</row>
    <row r="122" spans="1:16" ht="13.5" customHeight="1">
      <c r="A122" s="102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</row>
    <row r="123" spans="1:16" ht="13.5" customHeight="1">
      <c r="A123" s="102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</row>
    <row r="124" spans="1:16" ht="13.5" customHeight="1">
      <c r="A124" s="102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</row>
    <row r="125" spans="1:16" ht="13.5" customHeight="1">
      <c r="A125" s="102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</row>
    <row r="126" spans="1:16" ht="13.5" customHeight="1">
      <c r="A126" s="102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</row>
    <row r="127" spans="1:16" ht="13.5" customHeight="1">
      <c r="A127" s="102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spans="1:16" ht="13.5" customHeight="1">
      <c r="A128" s="102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</row>
    <row r="129" spans="1:16" ht="13.5" customHeight="1">
      <c r="A129" s="102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</row>
    <row r="130" spans="1:16" ht="13.5" customHeight="1">
      <c r="A130" s="102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</row>
    <row r="131" spans="1:16" ht="13.5" customHeight="1">
      <c r="A131" s="102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</row>
    <row r="132" spans="1:16" ht="13.5" customHeight="1">
      <c r="A132" s="102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</row>
    <row r="133" spans="1:16" ht="13.5" customHeight="1">
      <c r="A133" s="102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</row>
    <row r="134" spans="1:16" ht="13.5" customHeight="1">
      <c r="A134" s="102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</row>
    <row r="135" spans="1:16" ht="13.5" customHeight="1">
      <c r="A135" s="102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</row>
    <row r="136" spans="1:16" ht="13.5" customHeight="1">
      <c r="A136" s="102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</row>
    <row r="137" spans="1:16" ht="13.5" customHeight="1">
      <c r="A137" s="102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</row>
    <row r="138" spans="1:16" ht="13.5" customHeight="1">
      <c r="A138" s="102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</row>
    <row r="139" spans="1:16" ht="13.5" customHeight="1">
      <c r="A139" s="102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</row>
    <row r="140" spans="1:16" ht="13.5" customHeight="1">
      <c r="A140" s="102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</row>
    <row r="141" spans="1:16" ht="13.5" customHeight="1">
      <c r="A141" s="102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</row>
    <row r="142" spans="1:16" ht="13.5" customHeight="1">
      <c r="A142" s="102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</row>
    <row r="143" spans="1:16" ht="13.5" customHeight="1">
      <c r="A143" s="102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</row>
    <row r="144" spans="1:16" ht="13.5" customHeight="1">
      <c r="A144" s="102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</row>
    <row r="145" spans="1:16" ht="13.5" customHeight="1">
      <c r="A145" s="102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</row>
    <row r="146" spans="1:16" ht="13.5" customHeight="1">
      <c r="A146" s="102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</row>
    <row r="147" spans="1:16" ht="13.5" customHeight="1">
      <c r="A147" s="102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</row>
    <row r="148" spans="1:16" ht="13.5" customHeight="1">
      <c r="A148" s="102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</row>
    <row r="149" spans="1:16" ht="13.5" customHeight="1">
      <c r="A149" s="102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</row>
    <row r="150" spans="1:16" ht="13.5" customHeight="1">
      <c r="A150" s="102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</row>
    <row r="151" spans="1:16" ht="13.5" customHeight="1">
      <c r="A151" s="102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</row>
    <row r="152" spans="1:16" ht="13.5" customHeight="1">
      <c r="A152" s="102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</row>
    <row r="153" spans="1:16" ht="13.5" customHeight="1">
      <c r="A153" s="102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</row>
    <row r="154" spans="1:16" ht="13.5" customHeight="1">
      <c r="A154" s="102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</row>
    <row r="155" spans="1:16" ht="13.5" customHeight="1">
      <c r="A155" s="102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</row>
    <row r="156" spans="1:16" ht="13.5" customHeight="1">
      <c r="A156" s="102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spans="1:16" ht="13.5" customHeight="1">
      <c r="A157" s="102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</row>
    <row r="158" spans="1:16" ht="13.5" customHeight="1">
      <c r="A158" s="102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spans="1:16" ht="13.5" customHeight="1">
      <c r="A159" s="102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</row>
    <row r="160" spans="1:16" ht="13.5" customHeight="1">
      <c r="A160" s="102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</row>
    <row r="161" spans="1:16" ht="13.5" customHeight="1">
      <c r="A161" s="102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spans="1:16" ht="13.5" customHeight="1">
      <c r="A162" s="102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</row>
    <row r="163" spans="1:16" ht="13.5" customHeight="1">
      <c r="A163" s="102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</row>
    <row r="164" spans="1:16" ht="13.5" customHeight="1">
      <c r="A164" s="102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spans="1:16" ht="13.5" customHeight="1">
      <c r="A165" s="102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</row>
    <row r="166" spans="1:16" ht="13.5" customHeight="1">
      <c r="A166" s="102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</row>
    <row r="167" spans="1:16" ht="13.5" customHeight="1">
      <c r="A167" s="102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</row>
    <row r="168" spans="1:16" ht="13.5" customHeight="1">
      <c r="A168" s="102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</row>
    <row r="169" spans="1:16" ht="13.5" customHeight="1">
      <c r="A169" s="102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</row>
    <row r="170" spans="1:16" ht="13.5" customHeight="1">
      <c r="A170" s="102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</row>
    <row r="171" spans="1:16" ht="13.5" customHeight="1">
      <c r="A171" s="102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</row>
    <row r="172" spans="1:16" ht="13.5" customHeight="1">
      <c r="A172" s="102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</row>
    <row r="173" spans="1:16" ht="13.5" customHeight="1">
      <c r="A173" s="102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</row>
    <row r="174" spans="1:16" ht="13.5" customHeight="1">
      <c r="A174" s="102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</row>
    <row r="175" spans="1:16" ht="13.5" customHeight="1">
      <c r="A175" s="102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</row>
    <row r="176" spans="1:16" ht="13.5" customHeight="1">
      <c r="A176" s="102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</row>
    <row r="177" spans="1:16" ht="13.5" customHeight="1">
      <c r="A177" s="102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</row>
    <row r="178" spans="1:16" ht="13.5" customHeight="1">
      <c r="A178" s="102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</row>
    <row r="179" spans="1:16" ht="13.5" customHeight="1">
      <c r="A179" s="102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</row>
    <row r="180" spans="1:16" ht="13.5" customHeight="1">
      <c r="A180" s="102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</row>
    <row r="181" spans="1:16" ht="13.5" customHeight="1">
      <c r="A181" s="102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</row>
    <row r="182" spans="1:16" ht="13.5" customHeight="1">
      <c r="A182" s="102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</row>
    <row r="183" spans="1:16" ht="13.5" customHeight="1">
      <c r="A183" s="102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</row>
    <row r="184" spans="1:16" ht="13.5" customHeight="1">
      <c r="A184" s="102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</row>
    <row r="185" spans="1:16" ht="13.5" customHeight="1">
      <c r="A185" s="102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</row>
    <row r="186" spans="1:16" ht="13.5" customHeight="1">
      <c r="A186" s="102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</row>
    <row r="187" spans="1:16" ht="13.5" customHeight="1">
      <c r="A187" s="102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</row>
    <row r="188" spans="1:16" ht="13.5" customHeight="1">
      <c r="A188" s="102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</row>
    <row r="189" spans="1:16" ht="13.5" customHeight="1">
      <c r="A189" s="102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</row>
    <row r="190" spans="1:16" ht="13.5" customHeight="1">
      <c r="A190" s="102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</row>
    <row r="191" spans="1:16" ht="13.5" customHeight="1">
      <c r="A191" s="102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</row>
    <row r="192" spans="1:16" ht="13.5" customHeight="1">
      <c r="A192" s="102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</row>
    <row r="193" spans="1:16" ht="13.5" customHeight="1">
      <c r="A193" s="102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</row>
    <row r="194" spans="1:16" ht="13.5" customHeight="1">
      <c r="A194" s="102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</row>
    <row r="195" spans="1:16" ht="13.5" customHeight="1">
      <c r="A195" s="102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</row>
    <row r="196" spans="1:16" ht="13.5" customHeight="1">
      <c r="A196" s="102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</row>
    <row r="197" spans="1:16" ht="13.5" customHeight="1">
      <c r="A197" s="102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</row>
    <row r="198" spans="1:16" ht="13.5" customHeight="1">
      <c r="A198" s="102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</row>
    <row r="199" spans="1:16" ht="13.5" customHeight="1">
      <c r="A199" s="102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</row>
    <row r="200" spans="1:16" ht="13.5" customHeight="1">
      <c r="A200" s="102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</row>
    <row r="201" spans="1:16" ht="13.5" customHeight="1">
      <c r="A201" s="102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</row>
    <row r="202" spans="1:16" ht="13.5" customHeight="1">
      <c r="A202" s="102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</row>
    <row r="203" spans="1:16" ht="13.5" customHeight="1">
      <c r="A203" s="102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</row>
    <row r="204" spans="1:16" ht="13.5" customHeight="1">
      <c r="A204" s="102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</row>
    <row r="205" spans="1:16" ht="13.5" customHeight="1">
      <c r="A205" s="102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</row>
    <row r="206" spans="1:16" ht="13.5" customHeight="1">
      <c r="A206" s="102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</row>
    <row r="207" spans="1:16" ht="13.5" customHeight="1">
      <c r="A207" s="102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</row>
    <row r="208" spans="1:16" ht="13.5" customHeight="1">
      <c r="A208" s="102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</row>
    <row r="209" spans="1:16" ht="13.5" customHeight="1">
      <c r="A209" s="102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</row>
    <row r="210" spans="1:16" ht="13.5" customHeight="1">
      <c r="A210" s="102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</row>
    <row r="211" spans="1:16" ht="13.5" customHeight="1">
      <c r="A211" s="102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</row>
    <row r="212" spans="1:16" ht="13.5" customHeight="1">
      <c r="A212" s="102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</row>
    <row r="213" spans="1:16" ht="13.5" customHeight="1">
      <c r="A213" s="102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</row>
    <row r="214" spans="1:16" ht="13.5" customHeight="1">
      <c r="A214" s="102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</row>
    <row r="215" spans="1:16" ht="13.5" customHeight="1">
      <c r="A215" s="102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</row>
    <row r="216" spans="1:16" ht="13.5" customHeight="1">
      <c r="A216" s="102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</row>
    <row r="217" spans="1:16" ht="13.5" customHeight="1">
      <c r="A217" s="102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</row>
    <row r="218" spans="1:16" ht="13.5" customHeight="1">
      <c r="A218" s="102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</row>
    <row r="219" spans="1:16" ht="13.5" customHeight="1">
      <c r="A219" s="102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</row>
    <row r="220" spans="1:16" ht="13.5" customHeight="1">
      <c r="A220" s="102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</row>
    <row r="221" spans="1:16" ht="13.5" customHeight="1">
      <c r="A221" s="102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</row>
    <row r="222" spans="1:16" ht="13.5" customHeight="1">
      <c r="A222" s="102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</row>
    <row r="223" spans="1:16" ht="13.5" customHeight="1">
      <c r="A223" s="102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</row>
    <row r="224" spans="1:16" ht="13.5" customHeight="1">
      <c r="A224" s="102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</row>
    <row r="225" spans="1:16" ht="13.5" customHeight="1">
      <c r="A225" s="102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</row>
    <row r="226" spans="1:16" ht="13.5" customHeight="1">
      <c r="A226" s="102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</row>
    <row r="227" spans="1:16" ht="13.5" customHeight="1">
      <c r="A227" s="102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</row>
    <row r="228" spans="1:16" ht="13.5" customHeight="1">
      <c r="A228" s="102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</row>
    <row r="229" spans="1:16" ht="13.5" customHeight="1">
      <c r="A229" s="102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</row>
    <row r="230" spans="1:16" ht="13.5" customHeight="1">
      <c r="A230" s="102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</row>
    <row r="231" spans="1:16" ht="13.5" customHeight="1">
      <c r="A231" s="102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</row>
    <row r="232" spans="1:16" ht="13.5" customHeight="1">
      <c r="A232" s="102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</row>
    <row r="233" spans="1:16" ht="13.5" customHeight="1">
      <c r="A233" s="102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</row>
    <row r="234" spans="1:16" ht="13.5" customHeight="1">
      <c r="A234" s="102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</row>
    <row r="235" spans="1:16" ht="13.5" customHeight="1">
      <c r="A235" s="102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</row>
    <row r="236" spans="1:16" ht="13.5" customHeight="1">
      <c r="A236" s="102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</row>
    <row r="237" spans="1:16" ht="13.5" customHeight="1">
      <c r="A237" s="102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</row>
    <row r="238" spans="1:16" ht="13.5" customHeight="1">
      <c r="A238" s="102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</row>
    <row r="239" spans="1:16" ht="13.5" customHeight="1">
      <c r="A239" s="102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</row>
    <row r="240" spans="1:16" ht="13.5" customHeight="1">
      <c r="A240" s="102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</row>
    <row r="241" spans="1:16" ht="13.5" customHeight="1">
      <c r="A241" s="102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</row>
    <row r="242" spans="1:16" ht="13.5" customHeight="1">
      <c r="A242" s="102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</row>
    <row r="243" spans="1:16" ht="13.5" customHeight="1">
      <c r="A243" s="102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</row>
    <row r="244" spans="1:16" ht="13.5" customHeight="1">
      <c r="A244" s="102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</row>
    <row r="245" spans="1:16" ht="13.5" customHeight="1">
      <c r="A245" s="102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</row>
    <row r="246" spans="1:16" ht="13.5" customHeight="1">
      <c r="A246" s="102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</row>
    <row r="247" spans="1:16" ht="13.5" customHeight="1">
      <c r="A247" s="102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</row>
    <row r="248" spans="1:16" ht="13.5" customHeight="1">
      <c r="A248" s="102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</row>
    <row r="249" spans="1:16" ht="13.5" customHeight="1">
      <c r="A249" s="102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</row>
    <row r="250" spans="1:16" ht="13.5" customHeight="1">
      <c r="A250" s="102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</row>
    <row r="251" spans="1:16" ht="13.5" customHeight="1">
      <c r="A251" s="102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</row>
    <row r="252" spans="1:16" ht="13.5" customHeight="1">
      <c r="A252" s="102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</row>
    <row r="253" spans="1:16" ht="13.5" customHeight="1">
      <c r="A253" s="102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</row>
    <row r="254" spans="1:16" ht="13.5" customHeight="1">
      <c r="A254" s="102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</row>
    <row r="255" spans="1:16" ht="13.5" customHeight="1">
      <c r="A255" s="102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</row>
    <row r="256" spans="1:16" ht="13.5" customHeight="1">
      <c r="A256" s="102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</row>
    <row r="257" spans="1:16" ht="13.5" customHeight="1">
      <c r="A257" s="102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</row>
    <row r="258" spans="1:16" ht="13.5" customHeight="1">
      <c r="A258" s="102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</row>
    <row r="259" spans="1:16" ht="13.5" customHeight="1">
      <c r="A259" s="102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</row>
    <row r="260" spans="1:16" ht="13.5" customHeight="1">
      <c r="A260" s="102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</row>
    <row r="261" spans="1:16" ht="13.5" customHeight="1">
      <c r="A261" s="102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</row>
    <row r="262" spans="1:16" ht="13.5" customHeight="1">
      <c r="A262" s="102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</row>
    <row r="263" spans="1:16" ht="13.5" customHeight="1">
      <c r="A263" s="102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</row>
    <row r="264" spans="1:16" ht="13.5" customHeight="1">
      <c r="A264" s="102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</row>
    <row r="265" spans="1:16" ht="13.5" customHeight="1">
      <c r="A265" s="102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</row>
    <row r="266" spans="1:16" ht="13.5" customHeight="1">
      <c r="A266" s="102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</row>
    <row r="267" spans="1:16" ht="13.5" customHeight="1">
      <c r="A267" s="102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</row>
    <row r="268" spans="1:16" ht="13.5" customHeight="1">
      <c r="A268" s="102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</row>
    <row r="269" spans="1:16" ht="13.5" customHeight="1">
      <c r="A269" s="102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</row>
    <row r="270" spans="1:16" ht="13.5" customHeight="1">
      <c r="A270" s="102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</row>
    <row r="271" spans="1:16" ht="13.5" customHeight="1">
      <c r="A271" s="102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</row>
    <row r="272" spans="1:16" ht="13.5" customHeight="1">
      <c r="A272" s="102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</row>
    <row r="273" spans="1:16" ht="13.5" customHeight="1">
      <c r="A273" s="102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</row>
    <row r="274" spans="1:16" ht="13.5" customHeight="1">
      <c r="A274" s="102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</row>
    <row r="275" spans="1:16" ht="13.5" customHeight="1">
      <c r="A275" s="102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</row>
    <row r="276" spans="1:16" ht="13.5" customHeight="1">
      <c r="A276" s="102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</row>
    <row r="277" spans="1:16" ht="13.5" customHeight="1">
      <c r="A277" s="102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</row>
    <row r="278" spans="1:16" ht="13.5" customHeight="1">
      <c r="A278" s="102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</row>
    <row r="279" spans="1:16" ht="13.5" customHeight="1">
      <c r="A279" s="102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</row>
    <row r="280" spans="1:16" ht="13.5" customHeight="1">
      <c r="A280" s="102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</row>
    <row r="281" spans="1:16" ht="13.5" customHeight="1">
      <c r="A281" s="102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</row>
    <row r="282" spans="1:16" ht="13.5" customHeight="1">
      <c r="A282" s="102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</row>
    <row r="283" spans="1:16" ht="13.5" customHeight="1">
      <c r="A283" s="102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</row>
    <row r="284" spans="1:16" ht="13.5" customHeight="1">
      <c r="A284" s="102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</row>
    <row r="285" spans="1:16" ht="13.5" customHeight="1">
      <c r="A285" s="102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</row>
    <row r="286" spans="1:16" ht="13.5" customHeight="1">
      <c r="A286" s="102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</row>
    <row r="287" spans="1:16" ht="13.5" customHeight="1">
      <c r="A287" s="102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</row>
    <row r="288" spans="1:16" ht="13.5" customHeight="1">
      <c r="A288" s="102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</row>
    <row r="289" spans="1:16" ht="13.5" customHeight="1">
      <c r="A289" s="102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</row>
    <row r="290" spans="1:16" ht="13.5" customHeight="1">
      <c r="A290" s="102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</row>
    <row r="291" spans="1:16" ht="13.5" customHeight="1">
      <c r="A291" s="102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</row>
    <row r="292" spans="1:16" ht="13.5" customHeight="1">
      <c r="A292" s="102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</row>
    <row r="293" spans="1:16" ht="13.5" customHeight="1">
      <c r="A293" s="102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</row>
    <row r="294" spans="1:16" ht="13.5" customHeight="1">
      <c r="A294" s="102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</row>
    <row r="295" spans="1:16" ht="13.5" customHeight="1">
      <c r="A295" s="102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</row>
    <row r="296" spans="1:16" ht="13.5" customHeight="1">
      <c r="A296" s="102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</row>
    <row r="297" spans="1:16" ht="13.5" customHeight="1">
      <c r="A297" s="102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</row>
    <row r="298" spans="1:16" ht="13.5" customHeight="1">
      <c r="A298" s="102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</row>
    <row r="299" spans="1:16" ht="13.5" customHeight="1">
      <c r="A299" s="102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</row>
    <row r="300" spans="1:16" ht="13.5" customHeight="1">
      <c r="A300" s="102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</row>
    <row r="301" spans="1:16" ht="13.5" customHeight="1">
      <c r="A301" s="102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</row>
    <row r="302" spans="1:16" ht="13.5" customHeight="1">
      <c r="A302" s="102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</row>
    <row r="303" spans="1:16" ht="13.5" customHeight="1">
      <c r="A303" s="102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</row>
    <row r="304" spans="1:16" ht="13.5" customHeight="1">
      <c r="A304" s="102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</row>
    <row r="305" spans="1:16" ht="13.5" customHeight="1">
      <c r="A305" s="102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</row>
    <row r="306" spans="1:16" ht="13.5" customHeight="1">
      <c r="A306" s="102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</row>
    <row r="307" spans="1:16" ht="13.5" customHeight="1">
      <c r="A307" s="102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</row>
    <row r="308" spans="1:16" ht="13.5" customHeight="1">
      <c r="A308" s="102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</row>
    <row r="309" spans="1:16" ht="13.5" customHeight="1">
      <c r="A309" s="102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</row>
    <row r="310" spans="1:16" ht="13.5" customHeight="1">
      <c r="A310" s="102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</row>
    <row r="311" spans="1:16" ht="13.5" customHeight="1">
      <c r="A311" s="102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</row>
    <row r="312" spans="1:16" ht="13.5" customHeight="1">
      <c r="A312" s="102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</row>
    <row r="313" spans="1:16" ht="13.5" customHeight="1">
      <c r="A313" s="102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</row>
    <row r="314" spans="1:16" ht="13.5" customHeight="1">
      <c r="A314" s="102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</row>
    <row r="315" spans="1:16" ht="13.5" customHeight="1">
      <c r="A315" s="102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</row>
    <row r="316" spans="1:16" ht="13.5" customHeight="1">
      <c r="A316" s="102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</row>
    <row r="317" spans="1:16" ht="13.5" customHeight="1">
      <c r="A317" s="102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</row>
    <row r="318" spans="1:16" ht="13.5" customHeight="1">
      <c r="A318" s="102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</row>
    <row r="319" spans="1:16" ht="13.5" customHeight="1">
      <c r="A319" s="102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</row>
    <row r="320" spans="1:16" ht="13.5" customHeight="1">
      <c r="A320" s="102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</row>
    <row r="321" spans="1:16" ht="13.5" customHeight="1">
      <c r="A321" s="102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</row>
    <row r="322" spans="1:16" ht="13.5" customHeight="1">
      <c r="A322" s="102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</row>
    <row r="323" spans="1:16" ht="13.5" customHeight="1">
      <c r="A323" s="102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</row>
    <row r="324" spans="1:16" ht="13.5" customHeight="1">
      <c r="A324" s="102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</row>
    <row r="325" spans="1:16" ht="13.5" customHeight="1">
      <c r="A325" s="102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</row>
    <row r="326" spans="1:16" ht="13.5" customHeight="1">
      <c r="A326" s="102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</row>
    <row r="327" spans="1:16" ht="13.5" customHeight="1">
      <c r="A327" s="102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</row>
    <row r="328" spans="1:16" ht="13.5" customHeight="1">
      <c r="A328" s="102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</row>
    <row r="329" spans="1:16" ht="13.5" customHeight="1">
      <c r="A329" s="102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</row>
    <row r="330" spans="1:16" ht="13.5" customHeight="1">
      <c r="A330" s="102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</row>
    <row r="331" spans="1:16" ht="13.5" customHeight="1">
      <c r="A331" s="102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</row>
    <row r="332" spans="1:16" ht="13.5" customHeight="1">
      <c r="A332" s="102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</row>
    <row r="333" spans="1:16" ht="13.5" customHeight="1">
      <c r="A333" s="102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</row>
    <row r="334" spans="1:16" ht="13.5" customHeight="1">
      <c r="A334" s="102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</row>
    <row r="335" spans="1:16" ht="13.5" customHeight="1">
      <c r="A335" s="102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</row>
    <row r="336" spans="1:16" ht="13.5" customHeight="1">
      <c r="A336" s="102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</row>
    <row r="337" spans="1:16" ht="13.5" customHeight="1">
      <c r="A337" s="102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</row>
    <row r="338" spans="1:16" ht="13.5" customHeight="1">
      <c r="A338" s="102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</row>
    <row r="339" spans="1:16" ht="13.5" customHeight="1">
      <c r="A339" s="102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</row>
    <row r="340" spans="1:16" ht="13.5" customHeight="1">
      <c r="A340" s="102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</row>
    <row r="341" spans="1:16" ht="13.5" customHeight="1">
      <c r="A341" s="102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</row>
    <row r="342" spans="1:16" ht="13.5" customHeight="1">
      <c r="A342" s="102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</row>
    <row r="343" spans="1:16" ht="13.5" customHeight="1">
      <c r="A343" s="102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</row>
    <row r="344" spans="1:16" ht="13.5" customHeight="1">
      <c r="A344" s="102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</row>
    <row r="345" spans="1:16" ht="13.5" customHeight="1">
      <c r="A345" s="102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</row>
    <row r="346" spans="1:16" ht="13.5" customHeight="1">
      <c r="A346" s="102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</row>
    <row r="347" spans="1:16" ht="13.5" customHeight="1">
      <c r="A347" s="102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</row>
    <row r="348" spans="1:16" ht="13.5" customHeight="1">
      <c r="A348" s="102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</row>
    <row r="349" spans="1:16" ht="13.5" customHeight="1">
      <c r="A349" s="102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</row>
    <row r="350" spans="1:16" ht="13.5" customHeight="1">
      <c r="A350" s="102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</row>
    <row r="351" spans="1:16" ht="13.5" customHeight="1">
      <c r="A351" s="102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</row>
    <row r="352" spans="1:16" ht="13.5" customHeight="1">
      <c r="A352" s="102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</row>
    <row r="353" spans="1:16" ht="13.5" customHeight="1">
      <c r="A353" s="102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</row>
    <row r="354" spans="1:16" ht="13.5" customHeight="1">
      <c r="A354" s="102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</row>
    <row r="355" spans="1:16" ht="13.5" customHeight="1">
      <c r="A355" s="102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</row>
    <row r="356" spans="1:16" ht="13.5" customHeight="1">
      <c r="A356" s="102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</row>
    <row r="357" spans="1:16" ht="13.5" customHeight="1">
      <c r="A357" s="102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</row>
    <row r="358" spans="1:16" ht="13.5" customHeight="1">
      <c r="A358" s="102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</row>
    <row r="359" spans="1:16" ht="13.5" customHeight="1">
      <c r="A359" s="102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</row>
    <row r="360" spans="1:16" ht="13.5" customHeight="1">
      <c r="A360" s="102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</row>
    <row r="361" spans="1:16" ht="13.5" customHeight="1">
      <c r="A361" s="102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</row>
    <row r="362" spans="1:16" ht="13.5" customHeight="1">
      <c r="A362" s="102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</row>
    <row r="363" spans="1:16" ht="13.5" customHeight="1">
      <c r="A363" s="102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</row>
    <row r="364" spans="1:16" ht="13.5" customHeight="1">
      <c r="A364" s="102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</row>
    <row r="365" spans="1:16" ht="13.5" customHeight="1">
      <c r="A365" s="102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</row>
    <row r="366" spans="1:16" ht="13.5" customHeight="1">
      <c r="A366" s="102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</row>
    <row r="367" spans="1:16" ht="13.5" customHeight="1">
      <c r="A367" s="102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</row>
    <row r="368" spans="1:16" ht="13.5" customHeight="1">
      <c r="A368" s="102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</row>
    <row r="369" spans="1:16" ht="13.5" customHeight="1">
      <c r="A369" s="102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</row>
    <row r="370" spans="1:16" ht="13.5" customHeight="1">
      <c r="A370" s="102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</row>
    <row r="371" spans="1:16" ht="13.5" customHeight="1">
      <c r="A371" s="102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</row>
    <row r="372" spans="1:16" ht="13.5" customHeight="1">
      <c r="A372" s="102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</row>
    <row r="373" spans="1:16" ht="13.5" customHeight="1">
      <c r="A373" s="102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</row>
    <row r="374" spans="1:16" ht="13.5" customHeight="1">
      <c r="A374" s="102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</row>
    <row r="375" spans="1:16" ht="13.5" customHeight="1">
      <c r="A375" s="102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</row>
    <row r="376" spans="1:16" ht="13.5" customHeight="1">
      <c r="A376" s="102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</row>
    <row r="377" spans="1:16" ht="13.5" customHeight="1">
      <c r="A377" s="102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</row>
    <row r="378" spans="1:16" ht="13.5" customHeight="1">
      <c r="A378" s="102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</row>
    <row r="379" spans="1:16" ht="13.5" customHeight="1">
      <c r="A379" s="102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</row>
    <row r="380" spans="1:16" ht="13.5" customHeight="1">
      <c r="A380" s="102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</row>
    <row r="381" spans="1:16" ht="13.5" customHeight="1">
      <c r="A381" s="102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</row>
    <row r="382" spans="1:16" ht="13.5" customHeight="1">
      <c r="A382" s="102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</row>
    <row r="383" spans="1:16" ht="13.5" customHeight="1">
      <c r="A383" s="102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</row>
    <row r="384" spans="1:16" ht="13.5" customHeight="1">
      <c r="A384" s="102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</row>
    <row r="385" spans="1:16" ht="13.5" customHeight="1">
      <c r="A385" s="102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</row>
    <row r="386" spans="1:16" ht="13.5" customHeight="1">
      <c r="A386" s="102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</row>
    <row r="387" spans="1:16" ht="13.5" customHeight="1">
      <c r="A387" s="102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</row>
    <row r="388" spans="1:16" ht="13.5" customHeight="1">
      <c r="A388" s="102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</row>
    <row r="389" spans="1:16" ht="13.5" customHeight="1">
      <c r="A389" s="102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</row>
    <row r="390" spans="1:16" ht="13.5" customHeight="1">
      <c r="A390" s="102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</row>
    <row r="391" spans="1:16" ht="13.5" customHeight="1">
      <c r="A391" s="102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</row>
    <row r="392" spans="1:16" ht="13.5" customHeight="1">
      <c r="A392" s="102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</row>
    <row r="393" spans="1:16" ht="13.5" customHeight="1">
      <c r="A393" s="102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</row>
    <row r="394" spans="1:16" ht="13.5" customHeight="1">
      <c r="A394" s="102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</row>
    <row r="395" spans="1:16" ht="13.5" customHeight="1">
      <c r="A395" s="102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</row>
    <row r="396" spans="1:16" ht="13.5" customHeight="1">
      <c r="A396" s="102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</row>
    <row r="397" spans="1:16" ht="13.5" customHeight="1">
      <c r="A397" s="102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</row>
    <row r="398" spans="1:16" ht="13.5" customHeight="1">
      <c r="A398" s="102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</row>
    <row r="399" spans="1:16" ht="13.5" customHeight="1">
      <c r="A399" s="102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</row>
    <row r="400" spans="1:16" ht="13.5" customHeight="1">
      <c r="A400" s="102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</row>
    <row r="401" spans="1:16" ht="13.5" customHeight="1">
      <c r="A401" s="102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</row>
    <row r="402" spans="1:16" ht="13.5" customHeight="1">
      <c r="A402" s="102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</row>
    <row r="403" spans="1:16" ht="13.5" customHeight="1">
      <c r="A403" s="102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</row>
    <row r="404" spans="1:16" ht="13.5" customHeight="1">
      <c r="A404" s="102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</row>
    <row r="405" spans="1:16" ht="13.5" customHeight="1">
      <c r="A405" s="102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</row>
    <row r="406" spans="1:16" ht="13.5" customHeight="1">
      <c r="A406" s="102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</row>
    <row r="407" spans="1:16" ht="13.5" customHeight="1">
      <c r="A407" s="102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</row>
    <row r="408" spans="1:16" ht="13.5" customHeight="1">
      <c r="A408" s="102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</row>
    <row r="409" spans="1:16" ht="13.5" customHeight="1">
      <c r="A409" s="102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</row>
    <row r="410" spans="1:16" ht="13.5" customHeight="1">
      <c r="A410" s="102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</row>
    <row r="411" spans="1:16" ht="13.5" customHeight="1">
      <c r="A411" s="102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</row>
    <row r="412" spans="1:16" ht="13.5" customHeight="1">
      <c r="A412" s="102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</row>
    <row r="413" spans="1:16" ht="13.5" customHeight="1">
      <c r="A413" s="102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</row>
    <row r="414" spans="1:16" ht="13.5" customHeight="1">
      <c r="A414" s="102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</row>
    <row r="415" spans="1:16" ht="13.5" customHeight="1">
      <c r="A415" s="102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</row>
    <row r="416" spans="1:16" ht="13.5" customHeight="1">
      <c r="A416" s="102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</row>
    <row r="417" spans="1:16" ht="13.5" customHeight="1">
      <c r="A417" s="102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</row>
    <row r="418" spans="1:16" ht="13.5" customHeight="1">
      <c r="A418" s="102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</row>
    <row r="419" spans="1:16" ht="13.5" customHeight="1">
      <c r="A419" s="102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</row>
    <row r="420" spans="1:16" ht="13.5" customHeight="1">
      <c r="A420" s="102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</row>
    <row r="421" spans="1:16" ht="13.5" customHeight="1">
      <c r="A421" s="102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</row>
    <row r="422" spans="1:16" ht="13.5" customHeight="1">
      <c r="A422" s="102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</row>
    <row r="423" spans="1:16" ht="13.5" customHeight="1">
      <c r="A423" s="102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</row>
    <row r="424" spans="1:16" ht="13.5" customHeight="1">
      <c r="A424" s="102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</row>
    <row r="425" spans="1:16" ht="13.5" customHeight="1">
      <c r="A425" s="102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</row>
    <row r="426" spans="1:16" ht="13.5" customHeight="1">
      <c r="A426" s="102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</row>
    <row r="427" spans="1:16" ht="13.5" customHeight="1">
      <c r="A427" s="102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</row>
    <row r="428" spans="1:16" ht="13.5" customHeight="1">
      <c r="A428" s="102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</row>
    <row r="429" spans="1:16" ht="13.5" customHeight="1">
      <c r="A429" s="102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</row>
    <row r="430" spans="1:16" ht="13.5" customHeight="1">
      <c r="A430" s="102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</row>
    <row r="431" spans="1:16" ht="13.5" customHeight="1">
      <c r="A431" s="102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</row>
    <row r="432" spans="1:16" ht="13.5" customHeight="1">
      <c r="A432" s="102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</row>
    <row r="433" spans="1:16" ht="13.5" customHeight="1">
      <c r="A433" s="102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</row>
    <row r="434" spans="1:16" ht="13.5" customHeight="1">
      <c r="A434" s="102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</row>
    <row r="435" spans="1:16" ht="13.5" customHeight="1">
      <c r="A435" s="102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</row>
    <row r="436" spans="1:16" ht="13.5" customHeight="1">
      <c r="A436" s="102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</row>
    <row r="437" spans="1:16" ht="13.5" customHeight="1">
      <c r="A437" s="102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</row>
    <row r="438" spans="1:16" ht="13.5" customHeight="1">
      <c r="A438" s="102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</row>
    <row r="439" spans="1:16" ht="13.5" customHeight="1">
      <c r="A439" s="102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</row>
    <row r="440" spans="1:16" ht="13.5" customHeight="1">
      <c r="A440" s="102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</row>
    <row r="441" spans="1:16" ht="13.5" customHeight="1">
      <c r="A441" s="102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</row>
    <row r="442" spans="1:16" ht="13.5" customHeight="1">
      <c r="A442" s="102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</row>
    <row r="443" spans="1:16" ht="13.5" customHeight="1">
      <c r="A443" s="102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</row>
    <row r="444" spans="1:16" ht="13.5" customHeight="1">
      <c r="A444" s="102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</row>
    <row r="445" spans="1:16" ht="13.5" customHeight="1">
      <c r="A445" s="102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</row>
    <row r="446" spans="1:16" ht="13.5" customHeight="1">
      <c r="A446" s="102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</row>
    <row r="447" spans="1:16" ht="13.5" customHeight="1">
      <c r="A447" s="102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</row>
    <row r="448" spans="1:16" ht="13.5" customHeight="1">
      <c r="A448" s="102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</row>
    <row r="449" spans="1:16" ht="13.5" customHeight="1">
      <c r="A449" s="102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</row>
    <row r="450" spans="1:16" ht="13.5" customHeight="1">
      <c r="A450" s="102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</row>
    <row r="451" spans="1:16" ht="13.5" customHeight="1">
      <c r="A451" s="102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</row>
    <row r="452" spans="1:16" ht="13.5" customHeight="1">
      <c r="A452" s="102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</row>
    <row r="453" spans="1:16" ht="13.5" customHeight="1">
      <c r="A453" s="102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</row>
    <row r="454" spans="1:16" ht="13.5" customHeight="1">
      <c r="A454" s="102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</row>
    <row r="455" spans="1:16" ht="13.5" customHeight="1">
      <c r="A455" s="102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</row>
    <row r="456" spans="1:16" ht="13.5" customHeight="1">
      <c r="A456" s="102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</row>
    <row r="457" spans="1:16" ht="13.5" customHeight="1">
      <c r="A457" s="102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</row>
    <row r="458" spans="1:16" ht="13.5" customHeight="1">
      <c r="A458" s="102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</row>
    <row r="459" spans="1:16" ht="13.5" customHeight="1">
      <c r="A459" s="102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</row>
    <row r="460" spans="1:16" ht="13.5" customHeight="1">
      <c r="A460" s="102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</row>
    <row r="461" spans="1:16" ht="13.5" customHeight="1">
      <c r="A461" s="102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</row>
    <row r="462" spans="1:16" ht="13.5" customHeight="1">
      <c r="A462" s="102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</row>
    <row r="463" spans="1:16" ht="13.5" customHeight="1">
      <c r="A463" s="102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</row>
    <row r="464" spans="1:16" ht="13.5" customHeight="1">
      <c r="A464" s="102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</row>
    <row r="465" spans="1:16" ht="13.5" customHeight="1">
      <c r="A465" s="102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</row>
    <row r="466" spans="1:16" ht="13.5" customHeight="1">
      <c r="A466" s="102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</row>
    <row r="467" spans="1:16" ht="13.5" customHeight="1">
      <c r="A467" s="102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</row>
    <row r="468" spans="1:16" ht="13.5" customHeight="1">
      <c r="A468" s="102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</row>
    <row r="469" spans="1:16" ht="13.5" customHeight="1">
      <c r="A469" s="102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</row>
    <row r="470" spans="1:16" ht="13.5" customHeight="1">
      <c r="A470" s="102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</row>
    <row r="471" spans="1:16" ht="13.5" customHeight="1">
      <c r="A471" s="102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</row>
    <row r="472" spans="1:16" ht="13.5" customHeight="1">
      <c r="A472" s="102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</row>
    <row r="473" spans="1:16" ht="13.5" customHeight="1">
      <c r="A473" s="102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</row>
    <row r="474" spans="1:16" ht="13.5" customHeight="1">
      <c r="A474" s="102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</row>
    <row r="475" spans="1:16" ht="13.5" customHeight="1">
      <c r="A475" s="102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</row>
    <row r="476" spans="1:16" ht="13.5" customHeight="1">
      <c r="A476" s="102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</row>
    <row r="477" spans="1:16" ht="13.5" customHeight="1">
      <c r="A477" s="102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</row>
    <row r="478" spans="1:16" ht="13.5" customHeight="1">
      <c r="A478" s="102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</row>
    <row r="479" spans="1:16" ht="13.5" customHeight="1">
      <c r="A479" s="102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</row>
    <row r="480" spans="1:16" ht="13.5" customHeight="1">
      <c r="A480" s="102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</row>
    <row r="481" spans="1:16" ht="13.5" customHeight="1">
      <c r="A481" s="102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</row>
    <row r="482" spans="1:16" ht="13.5" customHeight="1">
      <c r="A482" s="102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</row>
    <row r="483" spans="1:16" ht="13.5" customHeight="1">
      <c r="A483" s="102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</row>
    <row r="484" spans="1:16" ht="13.5" customHeight="1">
      <c r="A484" s="102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</row>
    <row r="485" spans="1:16" ht="13.5" customHeight="1">
      <c r="A485" s="102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</row>
    <row r="486" spans="1:16" ht="13.5" customHeight="1">
      <c r="A486" s="102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</row>
    <row r="487" spans="1:16" ht="13.5" customHeight="1">
      <c r="A487" s="102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</row>
    <row r="488" spans="1:16" ht="13.5" customHeight="1">
      <c r="A488" s="102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</row>
    <row r="489" spans="1:16" ht="13.5" customHeight="1">
      <c r="A489" s="102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</row>
    <row r="490" spans="1:16" ht="13.5" customHeight="1">
      <c r="A490" s="102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</row>
    <row r="491" spans="1:16" ht="13.5" customHeight="1">
      <c r="A491" s="102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</row>
    <row r="492" spans="1:16" ht="13.5" customHeight="1">
      <c r="A492" s="102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</row>
    <row r="493" spans="1:16" ht="13.5" customHeight="1">
      <c r="A493" s="102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</row>
    <row r="494" spans="1:16" ht="13.5" customHeight="1">
      <c r="A494" s="102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</row>
    <row r="495" spans="1:16" ht="13.5" customHeight="1">
      <c r="A495" s="102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</row>
    <row r="496" spans="1:16" ht="13.5" customHeight="1">
      <c r="A496" s="102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</row>
    <row r="497" spans="1:16" ht="13.5" customHeight="1">
      <c r="A497" s="102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</row>
    <row r="498" spans="1:16" ht="13.5" customHeight="1">
      <c r="A498" s="102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</row>
    <row r="499" spans="1:16" ht="13.5" customHeight="1">
      <c r="A499" s="102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</row>
    <row r="500" spans="1:16" ht="13.5" customHeight="1">
      <c r="A500" s="102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</row>
    <row r="501" spans="1:16" ht="13.5" customHeight="1">
      <c r="A501" s="102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</row>
    <row r="502" spans="1:16" ht="13.5" customHeight="1">
      <c r="A502" s="102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</row>
    <row r="503" spans="1:16" ht="13.5" customHeight="1">
      <c r="A503" s="102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</row>
    <row r="504" spans="1:16" ht="13.5" customHeight="1">
      <c r="A504" s="102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</row>
    <row r="505" spans="1:16" ht="13.5" customHeight="1">
      <c r="A505" s="102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</row>
    <row r="506" spans="1:16" ht="13.5" customHeight="1">
      <c r="A506" s="102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</row>
    <row r="507" spans="1:16" ht="13.5" customHeight="1">
      <c r="A507" s="102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</row>
    <row r="508" spans="1:16" ht="13.5" customHeight="1">
      <c r="A508" s="102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</row>
    <row r="509" spans="1:16" ht="13.5" customHeight="1">
      <c r="A509" s="102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</row>
    <row r="510" spans="1:16" ht="13.5" customHeight="1">
      <c r="A510" s="102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</row>
    <row r="511" spans="1:16" ht="13.5" customHeight="1">
      <c r="A511" s="102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</row>
    <row r="512" spans="1:16" ht="13.5" customHeight="1">
      <c r="A512" s="102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</row>
    <row r="513" spans="1:16" ht="13.5" customHeight="1">
      <c r="A513" s="102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</row>
    <row r="514" spans="1:16" ht="13.5" customHeight="1">
      <c r="A514" s="102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</row>
    <row r="515" spans="1:16" ht="13.5" customHeight="1">
      <c r="A515" s="102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</row>
    <row r="516" spans="1:16" ht="13.5" customHeight="1">
      <c r="A516" s="102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</row>
    <row r="517" spans="1:16" ht="13.5" customHeight="1">
      <c r="A517" s="102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</row>
    <row r="518" spans="1:16" ht="13.5" customHeight="1">
      <c r="A518" s="102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</row>
    <row r="519" spans="1:16" ht="13.5" customHeight="1">
      <c r="A519" s="102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</row>
    <row r="520" spans="1:16" ht="13.5" customHeight="1">
      <c r="A520" s="102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</row>
    <row r="521" spans="1:16" ht="13.5" customHeight="1">
      <c r="A521" s="102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</row>
    <row r="522" spans="1:16" ht="13.5" customHeight="1">
      <c r="A522" s="102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</row>
    <row r="523" spans="1:16" ht="13.5" customHeight="1">
      <c r="A523" s="102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</row>
    <row r="524" spans="1:16" ht="13.5" customHeight="1">
      <c r="A524" s="102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</row>
    <row r="525" spans="1:16" ht="13.5" customHeight="1">
      <c r="A525" s="102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</row>
    <row r="526" spans="1:16" ht="13.5" customHeight="1">
      <c r="A526" s="102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</row>
    <row r="527" spans="1:16" ht="13.5" customHeight="1">
      <c r="A527" s="102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</row>
    <row r="528" spans="1:16" ht="13.5" customHeight="1">
      <c r="A528" s="102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</row>
    <row r="529" spans="1:16" ht="13.5" customHeight="1">
      <c r="A529" s="102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</row>
    <row r="530" spans="1:16" ht="13.5" customHeight="1">
      <c r="A530" s="102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</row>
    <row r="531" spans="1:16" ht="13.5" customHeight="1">
      <c r="A531" s="102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</row>
    <row r="532" spans="1:16" ht="13.5" customHeight="1">
      <c r="A532" s="102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</row>
    <row r="533" spans="1:16" ht="13.5" customHeight="1">
      <c r="A533" s="102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</row>
    <row r="534" spans="1:16" ht="13.5" customHeight="1">
      <c r="A534" s="102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</row>
    <row r="535" spans="1:16" ht="13.5" customHeight="1">
      <c r="A535" s="102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</row>
    <row r="536" spans="1:16" ht="13.5" customHeight="1">
      <c r="A536" s="102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</row>
    <row r="537" spans="1:16" ht="13.5" customHeight="1">
      <c r="A537" s="102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</row>
    <row r="538" spans="1:16" ht="13.5" customHeight="1">
      <c r="A538" s="102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</row>
    <row r="539" spans="1:16" ht="13.5" customHeight="1">
      <c r="A539" s="102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</row>
    <row r="540" spans="1:16" ht="13.5" customHeight="1">
      <c r="A540" s="102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</row>
    <row r="541" spans="1:16" ht="13.5" customHeight="1">
      <c r="A541" s="102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</row>
    <row r="542" spans="1:16" ht="13.5" customHeight="1">
      <c r="A542" s="102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</row>
    <row r="543" spans="1:16" ht="13.5" customHeight="1">
      <c r="A543" s="102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</row>
    <row r="544" spans="1:16" ht="13.5" customHeight="1">
      <c r="A544" s="102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</row>
    <row r="545" spans="1:16" ht="13.5" customHeight="1">
      <c r="A545" s="102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</row>
    <row r="546" spans="1:16" ht="13.5" customHeight="1">
      <c r="A546" s="102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</row>
    <row r="547" spans="1:16" ht="13.5" customHeight="1">
      <c r="A547" s="102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</row>
    <row r="548" spans="1:16" ht="13.5" customHeight="1">
      <c r="A548" s="102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</row>
    <row r="549" spans="1:16" ht="13.5" customHeight="1">
      <c r="A549" s="102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</row>
    <row r="550" spans="1:16" ht="13.5" customHeight="1">
      <c r="A550" s="102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</row>
    <row r="551" spans="1:16" ht="13.5" customHeight="1">
      <c r="A551" s="102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</row>
    <row r="552" spans="1:16" ht="13.5" customHeight="1">
      <c r="A552" s="102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</row>
    <row r="553" spans="1:16" ht="13.5" customHeight="1">
      <c r="A553" s="102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</row>
    <row r="554" spans="1:16" ht="13.5" customHeight="1">
      <c r="A554" s="102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</row>
    <row r="555" spans="1:16" ht="13.5" customHeight="1">
      <c r="A555" s="102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</row>
    <row r="556" spans="1:16" ht="13.5" customHeight="1">
      <c r="A556" s="102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</row>
    <row r="557" spans="1:16" ht="13.5" customHeight="1">
      <c r="A557" s="102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</row>
    <row r="558" spans="1:16" ht="13.5" customHeight="1">
      <c r="A558" s="102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</row>
    <row r="559" spans="1:16" ht="13.5" customHeight="1">
      <c r="A559" s="102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</row>
    <row r="560" spans="1:16" ht="13.5" customHeight="1">
      <c r="A560" s="102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</row>
    <row r="561" spans="1:16" ht="13.5" customHeight="1">
      <c r="A561" s="102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</row>
    <row r="562" spans="1:16" ht="13.5" customHeight="1">
      <c r="A562" s="102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</row>
    <row r="563" spans="1:16" ht="13.5" customHeight="1">
      <c r="A563" s="102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</row>
    <row r="564" spans="1:16" ht="13.5" customHeight="1">
      <c r="A564" s="102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</row>
    <row r="565" spans="1:16" ht="13.5" customHeight="1">
      <c r="A565" s="102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</row>
    <row r="566" spans="1:16" ht="13.5" customHeight="1">
      <c r="A566" s="102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</row>
    <row r="567" spans="1:16" ht="13.5" customHeight="1">
      <c r="A567" s="102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</row>
    <row r="568" spans="1:16" ht="13.5" customHeight="1">
      <c r="A568" s="102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</row>
    <row r="569" spans="1:16" ht="13.5" customHeight="1">
      <c r="A569" s="102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</row>
    <row r="570" spans="1:16" ht="13.5" customHeight="1">
      <c r="A570" s="102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</row>
    <row r="571" spans="1:16" ht="13.5" customHeight="1">
      <c r="A571" s="102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</row>
    <row r="572" spans="1:16" ht="13.5" customHeight="1">
      <c r="A572" s="102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</row>
    <row r="573" spans="1:16" ht="13.5" customHeight="1">
      <c r="A573" s="102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</row>
    <row r="574" spans="1:16" ht="13.5" customHeight="1">
      <c r="A574" s="102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</row>
    <row r="575" spans="1:16" ht="13.5" customHeight="1">
      <c r="A575" s="102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</row>
    <row r="576" spans="1:16" ht="13.5" customHeight="1">
      <c r="A576" s="102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</row>
    <row r="577" spans="1:16" ht="13.5" customHeight="1">
      <c r="A577" s="102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</row>
    <row r="578" spans="1:16" ht="13.5" customHeight="1">
      <c r="A578" s="102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</row>
    <row r="579" spans="1:16" ht="13.5" customHeight="1">
      <c r="A579" s="102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</row>
    <row r="580" spans="1:16" ht="13.5" customHeight="1">
      <c r="A580" s="102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</row>
    <row r="581" spans="1:16" ht="13.5" customHeight="1">
      <c r="A581" s="102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</row>
    <row r="582" spans="1:16" ht="13.5" customHeight="1">
      <c r="A582" s="102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</row>
    <row r="583" spans="1:16" ht="13.5" customHeight="1">
      <c r="A583" s="102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</row>
    <row r="584" spans="1:16" ht="13.5" customHeight="1">
      <c r="A584" s="102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</row>
    <row r="585" spans="1:16" ht="13.5" customHeight="1">
      <c r="A585" s="102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</row>
    <row r="586" spans="1:16" ht="13.5" customHeight="1">
      <c r="A586" s="102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</row>
    <row r="587" spans="1:16" ht="13.5" customHeight="1">
      <c r="A587" s="102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</row>
    <row r="588" spans="1:16" ht="13.5" customHeight="1">
      <c r="A588" s="102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</row>
    <row r="589" spans="1:16" ht="13.5" customHeight="1">
      <c r="A589" s="102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</row>
    <row r="590" spans="1:16" ht="13.5" customHeight="1">
      <c r="A590" s="102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</row>
    <row r="591" spans="1:16" ht="13.5" customHeight="1">
      <c r="A591" s="102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</row>
    <row r="592" spans="1:16" ht="13.5" customHeight="1">
      <c r="A592" s="102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</row>
    <row r="593" spans="1:16" ht="13.5" customHeight="1">
      <c r="A593" s="102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</row>
    <row r="594" spans="1:16" ht="13.5" customHeight="1">
      <c r="A594" s="102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</row>
    <row r="595" spans="1:16" ht="13.5" customHeight="1">
      <c r="A595" s="102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</row>
    <row r="596" spans="1:16" ht="13.5" customHeight="1">
      <c r="A596" s="102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</row>
    <row r="597" spans="1:16" ht="13.5" customHeight="1">
      <c r="A597" s="102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</row>
    <row r="598" spans="1:16" ht="13.5" customHeight="1">
      <c r="A598" s="102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</row>
    <row r="599" spans="1:16" ht="13.5" customHeight="1">
      <c r="A599" s="102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</row>
    <row r="600" spans="1:16" ht="13.5" customHeight="1">
      <c r="A600" s="102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</row>
    <row r="601" spans="1:16" ht="13.5" customHeight="1">
      <c r="A601" s="102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</row>
    <row r="602" spans="1:16" ht="13.5" customHeight="1">
      <c r="A602" s="102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</row>
    <row r="603" spans="1:16" ht="13.5" customHeight="1">
      <c r="A603" s="102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</row>
    <row r="604" spans="1:16" ht="13.5" customHeight="1">
      <c r="A604" s="102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</row>
    <row r="605" spans="1:16" ht="13.5" customHeight="1">
      <c r="A605" s="102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</row>
    <row r="606" spans="1:16" ht="13.5" customHeight="1">
      <c r="A606" s="102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</row>
    <row r="607" spans="1:16" ht="13.5" customHeight="1">
      <c r="A607" s="102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</row>
    <row r="608" spans="1:16" ht="13.5" customHeight="1">
      <c r="A608" s="102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</row>
    <row r="609" spans="1:16" ht="13.5" customHeight="1">
      <c r="A609" s="102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</row>
    <row r="610" spans="1:16" ht="13.5" customHeight="1">
      <c r="A610" s="102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</row>
    <row r="611" spans="1:16" ht="13.5" customHeight="1">
      <c r="A611" s="102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</row>
    <row r="612" spans="1:16" ht="13.5" customHeight="1">
      <c r="A612" s="102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</row>
    <row r="613" spans="1:16" ht="13.5" customHeight="1">
      <c r="A613" s="102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</row>
    <row r="614" spans="1:16" ht="13.5" customHeight="1">
      <c r="A614" s="102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</row>
    <row r="615" spans="1:16" ht="13.5" customHeight="1">
      <c r="A615" s="102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</row>
    <row r="616" spans="1:16" ht="13.5" customHeight="1">
      <c r="A616" s="102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</row>
    <row r="617" spans="1:16" ht="13.5" customHeight="1">
      <c r="A617" s="102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</row>
    <row r="618" spans="1:16" ht="13.5" customHeight="1">
      <c r="A618" s="102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</row>
    <row r="619" spans="1:16" ht="13.5" customHeight="1">
      <c r="A619" s="102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</row>
    <row r="620" spans="1:16" ht="13.5" customHeight="1">
      <c r="A620" s="102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</row>
    <row r="621" spans="1:16" ht="13.5" customHeight="1">
      <c r="A621" s="102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</row>
    <row r="622" spans="1:16" ht="13.5" customHeight="1">
      <c r="A622" s="102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</row>
    <row r="623" spans="1:16" ht="13.5" customHeight="1">
      <c r="A623" s="102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</row>
    <row r="624" spans="1:16" ht="13.5" customHeight="1">
      <c r="A624" s="102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</row>
    <row r="625" spans="1:16" ht="13.5" customHeight="1">
      <c r="A625" s="102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</row>
    <row r="626" spans="1:16" ht="13.5" customHeight="1">
      <c r="A626" s="102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</row>
    <row r="627" spans="1:16" ht="13.5" customHeight="1">
      <c r="A627" s="102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</row>
    <row r="628" spans="1:16" ht="13.5" customHeight="1">
      <c r="A628" s="102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</row>
    <row r="629" spans="1:16" ht="13.5" customHeight="1">
      <c r="A629" s="102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</row>
    <row r="630" spans="1:16" ht="13.5" customHeight="1">
      <c r="A630" s="102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</row>
    <row r="631" spans="1:16" ht="13.5" customHeight="1">
      <c r="A631" s="102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</row>
    <row r="632" spans="1:16" ht="13.5" customHeight="1">
      <c r="A632" s="102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</row>
    <row r="633" spans="1:16" ht="13.5" customHeight="1">
      <c r="A633" s="102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</row>
    <row r="634" spans="1:16" ht="13.5" customHeight="1">
      <c r="A634" s="102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</row>
    <row r="635" spans="1:16" ht="13.5" customHeight="1">
      <c r="A635" s="102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</row>
    <row r="636" spans="1:16" ht="13.5" customHeight="1">
      <c r="A636" s="102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</row>
    <row r="637" spans="1:16" ht="13.5" customHeight="1">
      <c r="A637" s="102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</row>
    <row r="638" spans="1:16" ht="13.5" customHeight="1">
      <c r="A638" s="102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</row>
    <row r="639" spans="1:16" ht="13.5" customHeight="1">
      <c r="A639" s="102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</row>
    <row r="640" spans="1:16" ht="13.5" customHeight="1">
      <c r="A640" s="102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</row>
    <row r="641" spans="1:16" ht="13.5" customHeight="1">
      <c r="A641" s="102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</row>
    <row r="642" spans="1:16" ht="13.5" customHeight="1">
      <c r="A642" s="102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</row>
    <row r="643" spans="1:16" ht="13.5" customHeight="1">
      <c r="A643" s="102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</row>
    <row r="644" spans="1:16" ht="13.5" customHeight="1">
      <c r="A644" s="102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</row>
    <row r="645" spans="1:16" ht="13.5" customHeight="1">
      <c r="A645" s="102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</row>
    <row r="646" spans="1:16" ht="13.5" customHeight="1">
      <c r="A646" s="102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</row>
    <row r="647" spans="1:16" ht="13.5" customHeight="1">
      <c r="A647" s="102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</row>
    <row r="648" spans="1:16" ht="13.5" customHeight="1">
      <c r="A648" s="102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</row>
    <row r="649" spans="1:16" ht="13.5" customHeight="1">
      <c r="A649" s="102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</row>
    <row r="650" spans="1:16" ht="13.5" customHeight="1">
      <c r="A650" s="102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</row>
    <row r="651" spans="1:16" ht="13.5" customHeight="1">
      <c r="A651" s="102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</row>
    <row r="652" spans="1:16" ht="13.5" customHeight="1">
      <c r="A652" s="102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</row>
    <row r="653" spans="1:16" ht="13.5" customHeight="1">
      <c r="A653" s="102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</row>
    <row r="654" spans="1:16" ht="13.5" customHeight="1">
      <c r="A654" s="102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</row>
    <row r="655" spans="1:16" ht="13.5" customHeight="1">
      <c r="A655" s="102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</row>
    <row r="656" spans="1:16" ht="13.5" customHeight="1">
      <c r="A656" s="102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</row>
    <row r="657" spans="1:16" ht="13.5" customHeight="1">
      <c r="A657" s="102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</row>
    <row r="658" spans="1:16" ht="13.5" customHeight="1">
      <c r="A658" s="102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</row>
    <row r="659" spans="1:16" ht="13.5" customHeight="1">
      <c r="A659" s="102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</row>
    <row r="660" spans="1:16" ht="13.5" customHeight="1">
      <c r="A660" s="102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</row>
    <row r="661" spans="1:16" ht="13.5" customHeight="1">
      <c r="A661" s="102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</row>
    <row r="662" spans="1:16" ht="13.5" customHeight="1">
      <c r="A662" s="102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</row>
    <row r="663" spans="1:16" ht="13.5" customHeight="1">
      <c r="A663" s="102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</row>
    <row r="664" spans="1:16" ht="13.5" customHeight="1">
      <c r="A664" s="102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</row>
    <row r="665" spans="1:16" ht="13.5" customHeight="1">
      <c r="A665" s="102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</row>
    <row r="666" spans="1:16" ht="13.5" customHeight="1">
      <c r="A666" s="102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</row>
    <row r="667" spans="1:16" ht="13.5" customHeight="1">
      <c r="A667" s="102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</row>
    <row r="668" spans="1:16" ht="13.5" customHeight="1">
      <c r="A668" s="102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</row>
    <row r="669" spans="1:16" ht="13.5" customHeight="1">
      <c r="A669" s="102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</row>
    <row r="670" spans="1:16" ht="13.5" customHeight="1">
      <c r="A670" s="102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</row>
    <row r="671" spans="1:16" ht="13.5" customHeight="1">
      <c r="A671" s="102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</row>
    <row r="672" spans="1:16" ht="13.5" customHeight="1">
      <c r="A672" s="102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</row>
    <row r="673" spans="1:16" ht="13.5" customHeight="1">
      <c r="A673" s="102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</row>
    <row r="674" spans="1:16" ht="13.5" customHeight="1">
      <c r="A674" s="102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</row>
    <row r="675" spans="1:16" ht="13.5" customHeight="1">
      <c r="A675" s="102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</row>
    <row r="676" spans="1:16" ht="13.5" customHeight="1">
      <c r="A676" s="102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</row>
    <row r="677" spans="1:16" ht="13.5" customHeight="1">
      <c r="A677" s="102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</row>
    <row r="678" spans="1:16" ht="13.5" customHeight="1">
      <c r="A678" s="102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</row>
    <row r="679" spans="1:16" ht="13.5" customHeight="1">
      <c r="A679" s="102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</row>
    <row r="680" spans="1:16" ht="13.5" customHeight="1">
      <c r="A680" s="102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</row>
    <row r="681" spans="1:16" ht="13.5" customHeight="1">
      <c r="A681" s="102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</row>
    <row r="682" spans="1:16" ht="13.5" customHeight="1">
      <c r="A682" s="102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</row>
    <row r="683" spans="1:16" ht="13.5" customHeight="1">
      <c r="A683" s="102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</row>
    <row r="684" spans="1:16" ht="13.5" customHeight="1">
      <c r="A684" s="102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</row>
    <row r="685" spans="1:16" ht="13.5" customHeight="1">
      <c r="A685" s="102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</row>
    <row r="686" spans="1:16" ht="13.5" customHeight="1">
      <c r="A686" s="102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</row>
    <row r="687" spans="1:16" ht="13.5" customHeight="1">
      <c r="A687" s="102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</row>
    <row r="688" spans="1:16" ht="13.5" customHeight="1">
      <c r="A688" s="102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</row>
    <row r="689" spans="1:16" ht="13.5" customHeight="1">
      <c r="A689" s="102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</row>
    <row r="690" spans="1:16" ht="13.5" customHeight="1">
      <c r="A690" s="102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</row>
    <row r="691" spans="1:16" ht="13.5" customHeight="1">
      <c r="A691" s="102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</row>
    <row r="692" spans="1:16" ht="13.5" customHeight="1">
      <c r="A692" s="102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</row>
    <row r="693" spans="1:16" ht="13.5" customHeight="1">
      <c r="A693" s="102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</row>
    <row r="694" spans="1:16" ht="13.5" customHeight="1">
      <c r="A694" s="102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</row>
    <row r="695" spans="1:16" ht="13.5" customHeight="1">
      <c r="A695" s="102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</row>
    <row r="696" spans="1:16" ht="13.5" customHeight="1">
      <c r="A696" s="102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</row>
    <row r="697" spans="1:16" ht="13.5" customHeight="1">
      <c r="A697" s="102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</row>
    <row r="698" spans="1:16" ht="13.5" customHeight="1">
      <c r="A698" s="102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</row>
    <row r="699" spans="1:16" ht="13.5" customHeight="1">
      <c r="A699" s="102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</row>
    <row r="700" spans="1:16" ht="13.5" customHeight="1">
      <c r="A700" s="102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</row>
    <row r="701" spans="1:16" ht="13.5" customHeight="1">
      <c r="A701" s="102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</row>
    <row r="702" spans="1:16" ht="13.5" customHeight="1">
      <c r="A702" s="102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</row>
    <row r="703" spans="1:16" ht="13.5" customHeight="1">
      <c r="A703" s="102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</row>
    <row r="704" spans="1:16" ht="13.5" customHeight="1">
      <c r="A704" s="102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</row>
    <row r="705" spans="1:16" ht="13.5" customHeight="1">
      <c r="A705" s="102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</row>
    <row r="706" spans="1:16" ht="13.5" customHeight="1">
      <c r="A706" s="102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</row>
    <row r="707" spans="1:16" ht="13.5" customHeight="1">
      <c r="A707" s="102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</row>
    <row r="708" spans="1:16" ht="13.5" customHeight="1">
      <c r="A708" s="102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</row>
    <row r="709" spans="1:16" ht="13.5" customHeight="1">
      <c r="A709" s="102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</row>
    <row r="710" spans="1:16" ht="13.5" customHeight="1">
      <c r="A710" s="102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</row>
    <row r="711" spans="1:16" ht="13.5" customHeight="1">
      <c r="A711" s="102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</row>
    <row r="712" spans="1:16" ht="13.5" customHeight="1">
      <c r="A712" s="102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</row>
    <row r="713" spans="1:16" ht="13.5" customHeight="1">
      <c r="A713" s="102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</row>
    <row r="714" spans="1:16" ht="13.5" customHeight="1">
      <c r="A714" s="102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</row>
    <row r="715" spans="1:16" ht="13.5" customHeight="1">
      <c r="A715" s="102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</row>
    <row r="716" spans="1:16" ht="13.5" customHeight="1">
      <c r="A716" s="102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</row>
    <row r="717" spans="1:16" ht="13.5" customHeight="1">
      <c r="A717" s="102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</row>
    <row r="718" spans="1:16" ht="13.5" customHeight="1">
      <c r="A718" s="102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</row>
    <row r="719" spans="1:16" ht="13.5" customHeight="1">
      <c r="A719" s="102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</row>
    <row r="720" spans="1:16" ht="13.5" customHeight="1">
      <c r="A720" s="102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</row>
    <row r="721" spans="1:16" ht="13.5" customHeight="1">
      <c r="A721" s="102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</row>
    <row r="722" spans="1:16" ht="13.5" customHeight="1">
      <c r="A722" s="102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</row>
    <row r="723" spans="1:16" ht="13.5" customHeight="1">
      <c r="A723" s="102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</row>
    <row r="724" spans="1:16" ht="13.5" customHeight="1">
      <c r="A724" s="102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</row>
    <row r="725" spans="1:16" ht="13.5" customHeight="1">
      <c r="A725" s="102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</row>
    <row r="726" spans="1:16" ht="13.5" customHeight="1">
      <c r="A726" s="102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</row>
    <row r="727" spans="1:16" ht="13.5" customHeight="1">
      <c r="A727" s="102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</row>
    <row r="728" spans="1:16" ht="13.5" customHeight="1">
      <c r="A728" s="102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</row>
    <row r="729" spans="1:16" ht="13.5" customHeight="1">
      <c r="A729" s="102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</row>
    <row r="730" spans="1:16" ht="13.5" customHeight="1">
      <c r="A730" s="102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</row>
    <row r="731" spans="1:16" ht="13.5" customHeight="1">
      <c r="A731" s="102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</row>
    <row r="732" spans="1:16" ht="13.5" customHeight="1">
      <c r="A732" s="102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</row>
    <row r="733" spans="1:16" ht="13.5" customHeight="1">
      <c r="A733" s="102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</row>
    <row r="734" spans="1:16" ht="13.5" customHeight="1">
      <c r="A734" s="102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</row>
    <row r="735" spans="1:16" ht="13.5" customHeight="1">
      <c r="A735" s="102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</row>
    <row r="736" spans="1:16" ht="13.5" customHeight="1">
      <c r="A736" s="102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</row>
    <row r="737" spans="1:16" ht="13.5" customHeight="1">
      <c r="A737" s="102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</row>
    <row r="738" spans="1:16" ht="13.5" customHeight="1">
      <c r="A738" s="102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</row>
    <row r="739" spans="1:16" ht="13.5" customHeight="1">
      <c r="A739" s="102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</row>
    <row r="740" spans="1:16" ht="13.5" customHeight="1">
      <c r="A740" s="102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</row>
    <row r="741" spans="1:16" ht="13.5" customHeight="1">
      <c r="A741" s="102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</row>
    <row r="742" spans="1:16" ht="13.5" customHeight="1">
      <c r="A742" s="102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</row>
    <row r="743" spans="1:16" ht="13.5" customHeight="1">
      <c r="A743" s="102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</row>
    <row r="744" spans="1:16" ht="13.5" customHeight="1">
      <c r="A744" s="102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</row>
    <row r="745" spans="1:16" ht="13.5" customHeight="1">
      <c r="A745" s="102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</row>
    <row r="746" spans="1:16" ht="13.5" customHeight="1">
      <c r="A746" s="102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</row>
    <row r="747" spans="1:16" ht="13.5" customHeight="1">
      <c r="A747" s="102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</row>
    <row r="748" spans="1:16" ht="13.5" customHeight="1">
      <c r="A748" s="102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</row>
    <row r="749" spans="1:16" ht="13.5" customHeight="1">
      <c r="A749" s="102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</row>
    <row r="750" spans="1:16" ht="13.5" customHeight="1">
      <c r="A750" s="102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</row>
    <row r="751" spans="1:16" ht="13.5" customHeight="1">
      <c r="A751" s="102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</row>
    <row r="752" spans="1:16" ht="13.5" customHeight="1">
      <c r="A752" s="102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</row>
    <row r="753" spans="1:16" ht="13.5" customHeight="1">
      <c r="A753" s="102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</row>
    <row r="754" spans="1:16" ht="13.5" customHeight="1">
      <c r="A754" s="102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</row>
    <row r="755" spans="1:16" ht="13.5" customHeight="1">
      <c r="A755" s="102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</row>
    <row r="756" spans="1:16" ht="13.5" customHeight="1">
      <c r="A756" s="102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</row>
    <row r="757" spans="1:16" ht="13.5" customHeight="1">
      <c r="A757" s="102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</row>
    <row r="758" spans="1:16" ht="13.5" customHeight="1">
      <c r="A758" s="102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</row>
    <row r="759" spans="1:16" ht="13.5" customHeight="1">
      <c r="A759" s="102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</row>
    <row r="760" spans="1:16" ht="13.5" customHeight="1">
      <c r="A760" s="102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</row>
    <row r="761" spans="1:16" ht="13.5" customHeight="1">
      <c r="A761" s="102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</row>
    <row r="762" spans="1:16" ht="13.5" customHeight="1">
      <c r="A762" s="102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</row>
    <row r="763" spans="1:16" ht="13.5" customHeight="1">
      <c r="A763" s="102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</row>
    <row r="764" spans="1:16" ht="13.5" customHeight="1">
      <c r="A764" s="102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</row>
    <row r="765" spans="1:16" ht="13.5" customHeight="1">
      <c r="A765" s="102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</row>
    <row r="766" spans="1:16" ht="13.5" customHeight="1">
      <c r="A766" s="102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</row>
    <row r="767" spans="1:16" ht="13.5" customHeight="1">
      <c r="A767" s="102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</row>
    <row r="768" spans="1:16" ht="13.5" customHeight="1">
      <c r="A768" s="102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</row>
    <row r="769" spans="1:16" ht="13.5" customHeight="1">
      <c r="A769" s="102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</row>
    <row r="770" spans="1:16" ht="13.5" customHeight="1">
      <c r="A770" s="102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</row>
    <row r="771" spans="1:16" ht="13.5" customHeight="1">
      <c r="A771" s="102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</row>
    <row r="772" spans="1:16" ht="13.5" customHeight="1">
      <c r="A772" s="102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</row>
    <row r="773" spans="1:16" ht="13.5" customHeight="1">
      <c r="A773" s="102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</row>
    <row r="774" spans="1:16" ht="13.5" customHeight="1">
      <c r="A774" s="102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</row>
    <row r="775" spans="1:16" ht="13.5" customHeight="1">
      <c r="A775" s="102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</row>
    <row r="776" spans="1:16" ht="13.5" customHeight="1">
      <c r="A776" s="102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</row>
    <row r="777" spans="1:16" ht="13.5" customHeight="1">
      <c r="A777" s="102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</row>
    <row r="778" spans="1:16" ht="13.5" customHeight="1">
      <c r="A778" s="102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</row>
    <row r="779" spans="1:16" ht="13.5" customHeight="1">
      <c r="A779" s="102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</row>
    <row r="780" spans="1:16" ht="13.5" customHeight="1">
      <c r="A780" s="102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</row>
    <row r="781" spans="1:16" ht="13.5" customHeight="1">
      <c r="A781" s="102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</row>
    <row r="782" spans="1:16" ht="13.5" customHeight="1">
      <c r="A782" s="102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</row>
    <row r="783" spans="1:16" ht="13.5" customHeight="1">
      <c r="A783" s="102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</row>
    <row r="784" spans="1:16" ht="13.5" customHeight="1">
      <c r="A784" s="102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</row>
    <row r="785" spans="1:16" ht="13.5" customHeight="1">
      <c r="A785" s="102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</row>
    <row r="786" spans="1:16" ht="13.5" customHeight="1">
      <c r="A786" s="102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</row>
    <row r="787" spans="1:16" ht="13.5" customHeight="1">
      <c r="A787" s="102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</row>
    <row r="788" spans="1:16" ht="13.5" customHeight="1">
      <c r="A788" s="102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</row>
    <row r="789" spans="1:16" ht="13.5" customHeight="1">
      <c r="A789" s="102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</row>
    <row r="790" spans="1:16" ht="13.5" customHeight="1">
      <c r="A790" s="102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</row>
    <row r="791" spans="1:16" ht="13.5" customHeight="1">
      <c r="A791" s="102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</row>
    <row r="792" spans="1:16" ht="13.5" customHeight="1">
      <c r="A792" s="102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</row>
    <row r="793" spans="1:16" ht="13.5" customHeight="1">
      <c r="A793" s="102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</row>
    <row r="794" spans="1:16" ht="13.5" customHeight="1">
      <c r="A794" s="102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</row>
    <row r="795" spans="1:16" ht="13.5" customHeight="1">
      <c r="A795" s="102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</row>
    <row r="796" spans="1:16" ht="13.5" customHeight="1">
      <c r="A796" s="102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</row>
    <row r="797" spans="1:16" ht="13.5" customHeight="1">
      <c r="A797" s="102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</row>
    <row r="798" spans="1:16" ht="13.5" customHeight="1">
      <c r="A798" s="102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</row>
    <row r="799" spans="1:16" ht="13.5" customHeight="1">
      <c r="A799" s="102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</row>
    <row r="800" spans="1:16" ht="13.5" customHeight="1">
      <c r="A800" s="102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</row>
    <row r="801" spans="1:16" ht="13.5" customHeight="1">
      <c r="A801" s="102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</row>
    <row r="802" spans="1:16" ht="13.5" customHeight="1">
      <c r="A802" s="102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</row>
    <row r="803" spans="1:16" ht="13.5" customHeight="1">
      <c r="A803" s="102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</row>
    <row r="804" spans="1:16" ht="13.5" customHeight="1">
      <c r="A804" s="102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</row>
    <row r="805" spans="1:16" ht="13.5" customHeight="1">
      <c r="A805" s="102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</row>
    <row r="806" spans="1:16" ht="13.5" customHeight="1">
      <c r="A806" s="102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</row>
    <row r="807" spans="1:16" ht="13.5" customHeight="1">
      <c r="A807" s="102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</row>
    <row r="808" spans="1:16" ht="13.5" customHeight="1">
      <c r="A808" s="102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</row>
    <row r="809" spans="1:16" ht="13.5" customHeight="1">
      <c r="A809" s="102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</row>
    <row r="810" spans="1:16" ht="13.5" customHeight="1">
      <c r="A810" s="102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</row>
    <row r="811" spans="1:16" ht="13.5" customHeight="1">
      <c r="A811" s="102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</row>
    <row r="812" spans="1:16" ht="13.5" customHeight="1">
      <c r="A812" s="102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</row>
    <row r="813" spans="1:16" ht="13.5" customHeight="1">
      <c r="A813" s="102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</row>
    <row r="814" spans="1:16" ht="13.5" customHeight="1">
      <c r="A814" s="102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</row>
    <row r="815" spans="1:16" ht="13.5" customHeight="1">
      <c r="A815" s="102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</row>
    <row r="816" spans="1:16" ht="13.5" customHeight="1">
      <c r="A816" s="102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</row>
    <row r="817" spans="1:16" ht="13.5" customHeight="1">
      <c r="A817" s="102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</row>
    <row r="818" spans="1:16" ht="13.5" customHeight="1">
      <c r="A818" s="102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</row>
    <row r="819" spans="1:16" ht="13.5" customHeight="1">
      <c r="A819" s="102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</row>
    <row r="820" spans="1:16" ht="13.5" customHeight="1">
      <c r="A820" s="102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</row>
    <row r="821" spans="1:16" ht="13.5" customHeight="1">
      <c r="A821" s="102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</row>
    <row r="822" spans="1:16" ht="13.5" customHeight="1">
      <c r="A822" s="102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</row>
    <row r="823" spans="1:16" ht="13.5" customHeight="1">
      <c r="A823" s="102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</row>
    <row r="824" spans="1:16" ht="13.5" customHeight="1">
      <c r="A824" s="102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</row>
    <row r="825" spans="1:16" ht="13.5" customHeight="1">
      <c r="A825" s="102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</row>
    <row r="826" spans="1:16" ht="13.5" customHeight="1">
      <c r="A826" s="102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</row>
    <row r="827" spans="1:16" ht="13.5" customHeight="1">
      <c r="A827" s="102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</row>
    <row r="828" spans="1:16" ht="13.5" customHeight="1">
      <c r="A828" s="102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</row>
    <row r="829" spans="1:16" ht="13.5" customHeight="1">
      <c r="A829" s="102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</row>
    <row r="830" spans="1:16" ht="13.5" customHeight="1">
      <c r="A830" s="102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</row>
    <row r="831" spans="1:16" ht="13.5" customHeight="1">
      <c r="A831" s="102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</row>
    <row r="832" spans="1:16" ht="13.5" customHeight="1">
      <c r="A832" s="102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</row>
    <row r="833" spans="1:16" ht="13.5" customHeight="1">
      <c r="A833" s="102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</row>
    <row r="834" spans="1:16" ht="13.5" customHeight="1">
      <c r="A834" s="102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</row>
    <row r="835" spans="1:16" ht="13.5" customHeight="1">
      <c r="A835" s="102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</row>
    <row r="836" spans="1:16" ht="13.5" customHeight="1">
      <c r="A836" s="102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</row>
    <row r="837" spans="1:16" ht="13.5" customHeight="1">
      <c r="A837" s="102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</row>
    <row r="838" spans="1:16" ht="13.5" customHeight="1">
      <c r="A838" s="102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</row>
    <row r="839" spans="1:16" ht="13.5" customHeight="1">
      <c r="A839" s="102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</row>
    <row r="840" spans="1:16" ht="13.5" customHeight="1">
      <c r="A840" s="102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</row>
    <row r="841" spans="1:16" ht="13.5" customHeight="1">
      <c r="A841" s="102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</row>
    <row r="842" spans="1:16" ht="13.5" customHeight="1">
      <c r="A842" s="102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</row>
    <row r="843" spans="1:16" ht="13.5" customHeight="1">
      <c r="A843" s="102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</row>
    <row r="844" spans="1:16" ht="13.5" customHeight="1">
      <c r="A844" s="102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</row>
    <row r="845" spans="1:16" ht="13.5" customHeight="1">
      <c r="A845" s="102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</row>
    <row r="846" spans="1:16" ht="13.5" customHeight="1">
      <c r="A846" s="102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</row>
    <row r="847" spans="1:16" ht="13.5" customHeight="1">
      <c r="A847" s="102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</row>
    <row r="848" spans="1:16" ht="13.5" customHeight="1">
      <c r="A848" s="102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</row>
    <row r="849" spans="1:16" ht="13.5" customHeight="1">
      <c r="A849" s="102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</row>
    <row r="850" spans="1:16" ht="13.5" customHeight="1">
      <c r="A850" s="102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</row>
    <row r="851" spans="1:16" ht="13.5" customHeight="1">
      <c r="A851" s="102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</row>
    <row r="852" spans="1:16" ht="13.5" customHeight="1">
      <c r="A852" s="102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</row>
    <row r="853" spans="1:16" ht="13.5" customHeight="1">
      <c r="A853" s="102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</row>
    <row r="854" spans="1:16" ht="13.5" customHeight="1">
      <c r="A854" s="102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</row>
    <row r="855" spans="1:16" ht="13.5" customHeight="1">
      <c r="A855" s="102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</row>
    <row r="856" spans="1:16" ht="13.5" customHeight="1">
      <c r="A856" s="102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</row>
    <row r="857" spans="1:16" ht="13.5" customHeight="1">
      <c r="A857" s="102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</row>
    <row r="858" spans="1:16" ht="13.5" customHeight="1">
      <c r="A858" s="102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</row>
    <row r="859" spans="1:16" ht="13.5" customHeight="1">
      <c r="A859" s="102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</row>
    <row r="860" spans="1:16" ht="13.5" customHeight="1">
      <c r="A860" s="102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</row>
    <row r="861" spans="1:16" ht="13.5" customHeight="1">
      <c r="A861" s="102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</row>
    <row r="862" spans="1:16" ht="13.5" customHeight="1">
      <c r="A862" s="102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</row>
    <row r="863" spans="1:16" ht="13.5" customHeight="1">
      <c r="A863" s="102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</row>
    <row r="864" spans="1:16" ht="13.5" customHeight="1">
      <c r="A864" s="102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</row>
    <row r="865" spans="1:16" ht="13.5" customHeight="1">
      <c r="A865" s="102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</row>
    <row r="866" spans="1:16" ht="13.5" customHeight="1">
      <c r="A866" s="102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</row>
    <row r="867" spans="1:16" ht="13.5" customHeight="1">
      <c r="A867" s="102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</row>
    <row r="868" spans="1:16" ht="13.5" customHeight="1">
      <c r="A868" s="102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</row>
    <row r="869" spans="1:16" ht="13.5" customHeight="1">
      <c r="A869" s="102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</row>
    <row r="870" spans="1:16" ht="13.5" customHeight="1">
      <c r="A870" s="102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</row>
    <row r="871" spans="1:16" ht="13.5" customHeight="1">
      <c r="A871" s="102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</row>
    <row r="872" spans="1:16" ht="13.5" customHeight="1">
      <c r="A872" s="102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</row>
    <row r="873" spans="1:16" ht="13.5" customHeight="1">
      <c r="A873" s="102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</row>
    <row r="874" spans="1:16" ht="13.5" customHeight="1">
      <c r="A874" s="102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</row>
    <row r="875" spans="1:16" ht="13.5" customHeight="1">
      <c r="A875" s="102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</row>
    <row r="876" spans="1:16" ht="13.5" customHeight="1">
      <c r="A876" s="102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</row>
    <row r="877" spans="1:16" ht="13.5" customHeight="1">
      <c r="A877" s="102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</row>
    <row r="878" spans="1:16" ht="13.5" customHeight="1">
      <c r="A878" s="102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</row>
    <row r="879" spans="1:16" ht="13.5" customHeight="1">
      <c r="A879" s="102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</row>
    <row r="880" spans="1:16" ht="13.5" customHeight="1">
      <c r="A880" s="102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</row>
    <row r="881" spans="1:16" ht="13.5" customHeight="1">
      <c r="A881" s="102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</row>
    <row r="882" spans="1:16" ht="13.5" customHeight="1">
      <c r="A882" s="102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</row>
    <row r="883" spans="1:16" ht="13.5" customHeight="1">
      <c r="A883" s="102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</row>
    <row r="884" spans="1:16" ht="13.5" customHeight="1">
      <c r="A884" s="102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</row>
    <row r="885" spans="1:16" ht="13.5" customHeight="1">
      <c r="A885" s="102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</row>
    <row r="886" spans="1:16" ht="13.5" customHeight="1">
      <c r="A886" s="102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</row>
    <row r="887" spans="1:16" ht="13.5" customHeight="1">
      <c r="A887" s="102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</row>
    <row r="888" spans="1:16" ht="13.5" customHeight="1">
      <c r="A888" s="102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</row>
    <row r="889" spans="1:16" ht="13.5" customHeight="1">
      <c r="A889" s="102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</row>
    <row r="890" spans="1:16" ht="13.5" customHeight="1">
      <c r="A890" s="102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</row>
    <row r="891" spans="1:16" ht="13.5" customHeight="1">
      <c r="A891" s="102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</row>
    <row r="892" spans="1:16" ht="13.5" customHeight="1">
      <c r="A892" s="102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</row>
    <row r="893" spans="1:16" ht="13.5" customHeight="1">
      <c r="A893" s="102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</row>
    <row r="894" spans="1:16" ht="13.5" customHeight="1">
      <c r="A894" s="102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</row>
    <row r="895" spans="1:16" ht="13.5" customHeight="1">
      <c r="A895" s="102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</row>
    <row r="896" spans="1:16" ht="13.5" customHeight="1">
      <c r="A896" s="102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</row>
    <row r="897" spans="1:16" ht="13.5" customHeight="1">
      <c r="A897" s="102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</row>
    <row r="898" spans="1:16" ht="13.5" customHeight="1">
      <c r="A898" s="102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</row>
    <row r="899" spans="1:16" ht="13.5" customHeight="1">
      <c r="A899" s="102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</row>
    <row r="900" spans="1:16" ht="13.5" customHeight="1">
      <c r="A900" s="102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</row>
    <row r="901" spans="1:16" ht="13.5" customHeight="1">
      <c r="A901" s="102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</row>
    <row r="902" spans="1:16" ht="13.5" customHeight="1">
      <c r="A902" s="102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</row>
    <row r="903" spans="1:16" ht="13.5" customHeight="1">
      <c r="A903" s="102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</row>
    <row r="904" spans="1:16" ht="13.5" customHeight="1">
      <c r="A904" s="102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</row>
    <row r="905" spans="1:16" ht="13.5" customHeight="1">
      <c r="A905" s="102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</row>
    <row r="906" spans="1:16" ht="13.5" customHeight="1">
      <c r="A906" s="102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</row>
    <row r="907" spans="1:16" ht="13.5" customHeight="1">
      <c r="A907" s="102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</row>
    <row r="908" spans="1:16" ht="13.5" customHeight="1">
      <c r="A908" s="102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</row>
    <row r="909" spans="1:16" ht="13.5" customHeight="1">
      <c r="A909" s="102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</row>
    <row r="910" spans="1:16" ht="13.5" customHeight="1">
      <c r="A910" s="102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</row>
    <row r="911" spans="1:16" ht="13.5" customHeight="1">
      <c r="A911" s="102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</row>
    <row r="912" spans="1:16" ht="13.5" customHeight="1">
      <c r="A912" s="102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</row>
    <row r="913" spans="1:16" ht="13.5" customHeight="1">
      <c r="A913" s="102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</row>
    <row r="914" spans="1:16" ht="13.5" customHeight="1">
      <c r="A914" s="102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</row>
    <row r="915" spans="1:16" ht="13.5" customHeight="1">
      <c r="A915" s="102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</row>
    <row r="916" spans="1:16" ht="13.5" customHeight="1">
      <c r="A916" s="102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</row>
    <row r="917" spans="1:16" ht="13.5" customHeight="1">
      <c r="A917" s="102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</row>
    <row r="918" spans="1:16" ht="13.5" customHeight="1">
      <c r="A918" s="102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</row>
    <row r="919" spans="1:16" ht="13.5" customHeight="1">
      <c r="A919" s="102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</row>
    <row r="920" spans="1:16" ht="13.5" customHeight="1">
      <c r="A920" s="102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</row>
    <row r="921" spans="1:16" ht="13.5" customHeight="1">
      <c r="A921" s="102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</row>
    <row r="922" spans="1:16" ht="13.5" customHeight="1">
      <c r="A922" s="102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</row>
    <row r="923" spans="1:16" ht="13.5" customHeight="1">
      <c r="A923" s="102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</row>
    <row r="924" spans="1:16" ht="13.5" customHeight="1">
      <c r="A924" s="102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</row>
    <row r="925" spans="1:16" ht="13.5" customHeight="1">
      <c r="A925" s="102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</row>
    <row r="926" spans="1:16" ht="13.5" customHeight="1">
      <c r="A926" s="102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</row>
    <row r="927" spans="1:16" ht="13.5" customHeight="1">
      <c r="A927" s="102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</row>
    <row r="928" spans="1:16" ht="13.5" customHeight="1">
      <c r="A928" s="102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</row>
    <row r="929" spans="1:16" ht="13.5" customHeight="1">
      <c r="A929" s="102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</row>
    <row r="930" spans="1:16" ht="13.5" customHeight="1">
      <c r="A930" s="102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</row>
    <row r="931" spans="1:16" ht="13.5" customHeight="1">
      <c r="A931" s="102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</row>
    <row r="932" spans="1:16" ht="13.5" customHeight="1">
      <c r="A932" s="102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</row>
    <row r="933" spans="1:16" ht="13.5" customHeight="1">
      <c r="A933" s="102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</row>
    <row r="934" spans="1:16" ht="13.5" customHeight="1">
      <c r="A934" s="102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</row>
    <row r="935" spans="1:16" ht="13.5" customHeight="1">
      <c r="A935" s="102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</row>
    <row r="936" spans="1:16" ht="13.5" customHeight="1">
      <c r="A936" s="102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</row>
    <row r="937" spans="1:16" ht="13.5" customHeight="1">
      <c r="A937" s="102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</row>
    <row r="938" spans="1:16" ht="13.5" customHeight="1">
      <c r="A938" s="102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</row>
    <row r="939" spans="1:16" ht="13.5" customHeight="1">
      <c r="A939" s="102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</row>
    <row r="940" spans="1:16" ht="13.5" customHeight="1">
      <c r="A940" s="102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</row>
    <row r="941" spans="1:16" ht="13.5" customHeight="1">
      <c r="A941" s="102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</row>
    <row r="942" spans="1:16" ht="13.5" customHeight="1">
      <c r="A942" s="102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</row>
    <row r="943" spans="1:16" ht="13.5" customHeight="1">
      <c r="A943" s="102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</row>
    <row r="944" spans="1:16" ht="13.5" customHeight="1">
      <c r="A944" s="102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</row>
    <row r="945" spans="1:16" ht="13.5" customHeight="1">
      <c r="A945" s="102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</row>
    <row r="946" spans="1:16" ht="13.5" customHeight="1">
      <c r="A946" s="102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</row>
    <row r="947" spans="1:16" ht="13.5" customHeight="1">
      <c r="A947" s="102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</row>
    <row r="948" spans="1:16" ht="13.5" customHeight="1">
      <c r="A948" s="102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</row>
    <row r="949" spans="1:16" ht="13.5" customHeight="1">
      <c r="A949" s="102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</row>
    <row r="950" spans="1:16" ht="13.5" customHeight="1">
      <c r="A950" s="102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</row>
    <row r="951" spans="1:16" ht="13.5" customHeight="1">
      <c r="A951" s="102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</row>
    <row r="952" spans="1:16" ht="13.5" customHeight="1">
      <c r="A952" s="102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</row>
    <row r="953" spans="1:16" ht="13.5" customHeight="1">
      <c r="A953" s="102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</row>
    <row r="954" spans="1:16" ht="13.5" customHeight="1">
      <c r="A954" s="102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</row>
    <row r="955" spans="1:16" ht="13.5" customHeight="1">
      <c r="A955" s="102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</row>
    <row r="956" spans="1:16" ht="13.5" customHeight="1">
      <c r="A956" s="102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</row>
    <row r="957" spans="1:16" ht="13.5" customHeight="1">
      <c r="A957" s="102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</row>
    <row r="958" spans="1:16" ht="13.5" customHeight="1">
      <c r="A958" s="102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</row>
    <row r="959" spans="1:16" ht="13.5" customHeight="1">
      <c r="A959" s="102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</row>
    <row r="960" spans="1:16" ht="13.5" customHeight="1">
      <c r="A960" s="102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</row>
    <row r="961" spans="1:16" ht="13.5" customHeight="1">
      <c r="A961" s="102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</row>
    <row r="962" spans="1:16" ht="13.5" customHeight="1">
      <c r="A962" s="102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</row>
    <row r="963" spans="1:16" ht="13.5" customHeight="1">
      <c r="A963" s="102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</row>
    <row r="964" spans="1:16" ht="13.5" customHeight="1">
      <c r="A964" s="102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</row>
    <row r="965" spans="1:16" ht="13.5" customHeight="1">
      <c r="A965" s="102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</row>
    <row r="966" spans="1:16" ht="13.5" customHeight="1">
      <c r="A966" s="102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</row>
    <row r="967" spans="1:16" ht="13.5" customHeight="1">
      <c r="A967" s="102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</row>
    <row r="968" spans="1:16" ht="13.5" customHeight="1">
      <c r="A968" s="102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</row>
    <row r="969" spans="1:16" ht="13.5" customHeight="1">
      <c r="A969" s="102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</row>
    <row r="970" spans="1:16" ht="13.5" customHeight="1">
      <c r="A970" s="102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</row>
    <row r="971" spans="1:16" ht="13.5" customHeight="1">
      <c r="A971" s="102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</row>
    <row r="972" spans="1:16" ht="13.5" customHeight="1">
      <c r="A972" s="102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</row>
    <row r="973" spans="1:16" ht="13.5" customHeight="1">
      <c r="A973" s="102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</row>
    <row r="974" spans="1:16" ht="13.5" customHeight="1">
      <c r="A974" s="102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</row>
    <row r="975" spans="1:16" ht="13.5" customHeight="1">
      <c r="A975" s="102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</row>
    <row r="976" spans="1:16" ht="13.5" customHeight="1">
      <c r="A976" s="102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</row>
    <row r="977" spans="1:16" ht="13.5" customHeight="1">
      <c r="A977" s="102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</row>
    <row r="978" spans="1:16" ht="13.5" customHeight="1">
      <c r="A978" s="102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</row>
    <row r="979" spans="1:16" ht="13.5" customHeight="1">
      <c r="A979" s="102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</row>
    <row r="980" spans="1:16" ht="13.5" customHeight="1">
      <c r="A980" s="102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</row>
    <row r="981" spans="1:16" ht="13.5" customHeight="1">
      <c r="A981" s="102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</row>
    <row r="982" spans="1:16" ht="13.5" customHeight="1">
      <c r="A982" s="102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</row>
    <row r="983" spans="1:16" ht="13.5" customHeight="1">
      <c r="A983" s="102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</row>
    <row r="984" spans="1:16" ht="13.5" customHeight="1">
      <c r="A984" s="102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</row>
    <row r="985" spans="1:16" ht="13.5" customHeight="1">
      <c r="A985" s="102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</row>
    <row r="986" spans="1:16" ht="13.5" customHeight="1">
      <c r="A986" s="102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</row>
    <row r="987" spans="1:16" ht="13.5" customHeight="1">
      <c r="A987" s="102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</row>
    <row r="988" spans="1:16" ht="13.5" customHeight="1">
      <c r="A988" s="102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</row>
    <row r="989" spans="1:16" ht="13.5" customHeight="1">
      <c r="A989" s="102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</row>
    <row r="990" spans="1:16" ht="13.5" customHeight="1">
      <c r="A990" s="102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</row>
    <row r="991" spans="1:16" ht="13.5" customHeight="1">
      <c r="A991" s="102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</row>
    <row r="992" spans="1:16" ht="13.5" customHeight="1">
      <c r="A992" s="102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</row>
    <row r="993" spans="1:16" ht="13.5" customHeight="1">
      <c r="A993" s="102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</row>
    <row r="994" spans="1:16" ht="13.5" customHeight="1">
      <c r="A994" s="102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</row>
    <row r="995" spans="1:16" ht="13.5" customHeight="1">
      <c r="A995" s="102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</row>
    <row r="996" spans="1:16" ht="13.5" customHeight="1">
      <c r="A996" s="102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</row>
    <row r="997" spans="1:16" ht="13.5" customHeight="1">
      <c r="A997" s="102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</row>
    <row r="998" spans="1:16" ht="13.5" customHeight="1">
      <c r="A998" s="102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</row>
    <row r="999" spans="1:16" ht="13.5" customHeight="1">
      <c r="A999" s="102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</row>
    <row r="1000" spans="1:16" ht="13.5" customHeight="1">
      <c r="A1000" s="102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</row>
    <row r="1001" spans="1:16" ht="13.5" customHeight="1">
      <c r="A1001" s="102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</row>
    <row r="1002" spans="1:16" ht="13.5" customHeight="1">
      <c r="A1002" s="102"/>
      <c r="B1002" s="91"/>
      <c r="C1002" s="91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</row>
    <row r="1003" spans="1:16" ht="13.5" customHeight="1">
      <c r="A1003" s="102"/>
      <c r="B1003" s="91"/>
      <c r="C1003" s="91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</row>
    <row r="1004" spans="1:16" ht="13.5" customHeight="1">
      <c r="A1004" s="102"/>
      <c r="B1004" s="91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</row>
    <row r="1005" spans="1:16" ht="13.5" customHeight="1">
      <c r="A1005" s="102"/>
      <c r="B1005" s="91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</row>
    <row r="1006" spans="1:16" ht="13.5" customHeight="1">
      <c r="A1006" s="102"/>
      <c r="B1006" s="91"/>
      <c r="C1006" s="91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</row>
    <row r="1007" spans="1:16" ht="13.5" customHeight="1">
      <c r="A1007" s="102"/>
      <c r="B1007" s="91"/>
      <c r="C1007" s="91"/>
      <c r="D1007" s="91"/>
      <c r="E1007" s="91"/>
      <c r="F1007" s="91"/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</row>
    <row r="1008" spans="1:16" ht="13.5" customHeight="1">
      <c r="A1008" s="102"/>
      <c r="B1008" s="91"/>
      <c r="C1008" s="91"/>
      <c r="D1008" s="91"/>
      <c r="E1008" s="91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</row>
    <row r="1009" spans="1:16" ht="13.5" customHeight="1">
      <c r="A1009" s="102"/>
      <c r="B1009" s="91"/>
      <c r="C1009" s="91"/>
      <c r="D1009" s="91"/>
      <c r="E1009" s="91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</row>
    <row r="1010" spans="1:16" ht="13.5" customHeight="1">
      <c r="A1010" s="102"/>
      <c r="B1010" s="91"/>
      <c r="C1010" s="91"/>
      <c r="D1010" s="91"/>
      <c r="E1010" s="91"/>
      <c r="F1010" s="91"/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</row>
    <row r="1011" spans="1:16" ht="13.5" customHeight="1">
      <c r="A1011" s="102"/>
      <c r="B1011" s="91"/>
      <c r="C1011" s="91"/>
      <c r="D1011" s="91"/>
      <c r="E1011" s="91"/>
      <c r="F1011" s="91"/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</row>
    <row r="1012" spans="1:16" ht="13.5" customHeight="1">
      <c r="A1012" s="102"/>
      <c r="B1012" s="91"/>
      <c r="C1012" s="91"/>
      <c r="D1012" s="91"/>
      <c r="E1012" s="91"/>
      <c r="F1012" s="91"/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</row>
    <row r="1013" spans="1:16" ht="13.5" customHeight="1">
      <c r="A1013" s="102"/>
      <c r="B1013" s="91"/>
      <c r="C1013" s="91"/>
      <c r="D1013" s="91"/>
      <c r="E1013" s="91"/>
      <c r="F1013" s="91"/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</row>
    <row r="1014" spans="1:16" ht="13.5" customHeight="1">
      <c r="A1014" s="102"/>
      <c r="B1014" s="91"/>
      <c r="C1014" s="91"/>
      <c r="D1014" s="91"/>
      <c r="E1014" s="91"/>
      <c r="F1014" s="91"/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</row>
    <row r="1015" spans="1:16" ht="13.5" customHeight="1">
      <c r="A1015" s="102"/>
      <c r="B1015" s="91"/>
      <c r="C1015" s="91"/>
      <c r="D1015" s="91"/>
      <c r="E1015" s="91"/>
      <c r="F1015" s="91"/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</row>
    <row r="1016" spans="1:16" ht="13.5" customHeight="1">
      <c r="A1016" s="102"/>
      <c r="B1016" s="91"/>
      <c r="C1016" s="91"/>
      <c r="D1016" s="91"/>
      <c r="E1016" s="91"/>
      <c r="F1016" s="91"/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</row>
    <row r="1017" spans="1:16" ht="13.5" customHeight="1">
      <c r="A1017" s="102"/>
      <c r="B1017" s="91"/>
      <c r="C1017" s="91"/>
      <c r="D1017" s="91"/>
      <c r="E1017" s="91"/>
      <c r="F1017" s="91"/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</row>
    <row r="1018" spans="1:16" ht="13.5" customHeight="1">
      <c r="A1018" s="102"/>
      <c r="B1018" s="91"/>
      <c r="C1018" s="91"/>
      <c r="D1018" s="91"/>
      <c r="E1018" s="91"/>
      <c r="F1018" s="91"/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</row>
    <row r="1019" spans="1:16" ht="13.5" customHeight="1">
      <c r="A1019" s="102"/>
      <c r="B1019" s="91"/>
      <c r="C1019" s="91"/>
      <c r="D1019" s="91"/>
      <c r="E1019" s="91"/>
      <c r="F1019" s="91"/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</row>
    <row r="1020" spans="1:16" ht="13.5" customHeight="1">
      <c r="A1020" s="102"/>
      <c r="B1020" s="91"/>
      <c r="C1020" s="91"/>
      <c r="D1020" s="91"/>
      <c r="E1020" s="91"/>
      <c r="F1020" s="91"/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</row>
    <row r="1021" spans="1:16" ht="13.5" customHeight="1">
      <c r="A1021" s="102"/>
      <c r="B1021" s="91"/>
      <c r="C1021" s="91"/>
      <c r="D1021" s="91"/>
      <c r="E1021" s="91"/>
      <c r="F1021" s="91"/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</row>
    <row r="1022" spans="1:16" ht="13.5" customHeight="1">
      <c r="A1022" s="102"/>
      <c r="B1022" s="91"/>
      <c r="C1022" s="91"/>
      <c r="D1022" s="91"/>
      <c r="E1022" s="91"/>
      <c r="F1022" s="91"/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</row>
    <row r="1023" spans="1:16" ht="13.5" customHeight="1">
      <c r="A1023" s="102"/>
      <c r="B1023" s="91"/>
      <c r="C1023" s="91"/>
      <c r="D1023" s="91"/>
      <c r="E1023" s="91"/>
      <c r="F1023" s="91"/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</row>
    <row r="1024" spans="1:16" ht="13.5" customHeight="1">
      <c r="A1024" s="102"/>
      <c r="B1024" s="91"/>
      <c r="C1024" s="91"/>
      <c r="D1024" s="91"/>
      <c r="E1024" s="91"/>
      <c r="F1024" s="91"/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</row>
    <row r="1025" spans="1:16" ht="13.5" customHeight="1">
      <c r="A1025" s="102"/>
      <c r="B1025" s="91"/>
      <c r="C1025" s="91"/>
      <c r="D1025" s="91"/>
      <c r="E1025" s="91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</row>
    <row r="1026" spans="1:16" ht="13.5" customHeight="1">
      <c r="A1026" s="102"/>
      <c r="B1026" s="91"/>
      <c r="C1026" s="91"/>
      <c r="D1026" s="91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</row>
    <row r="1027" spans="1:16" ht="13.5" customHeight="1">
      <c r="A1027" s="102"/>
      <c r="B1027" s="91"/>
      <c r="C1027" s="91"/>
      <c r="D1027" s="91"/>
      <c r="E1027" s="91"/>
      <c r="F1027" s="91"/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</row>
    <row r="1028" spans="1:16" ht="13.5" customHeight="1">
      <c r="A1028" s="102"/>
      <c r="B1028" s="91"/>
      <c r="C1028" s="91"/>
      <c r="D1028" s="91"/>
      <c r="E1028" s="91"/>
      <c r="F1028" s="91"/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</row>
    <row r="1029" spans="1:16" ht="13.5" customHeight="1">
      <c r="A1029" s="102"/>
      <c r="B1029" s="91"/>
      <c r="C1029" s="91"/>
      <c r="D1029" s="91"/>
      <c r="E1029" s="91"/>
      <c r="F1029" s="91"/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</row>
    <row r="1030" spans="1:16" ht="13.5" customHeight="1">
      <c r="A1030" s="102"/>
      <c r="B1030" s="91"/>
      <c r="C1030" s="91"/>
      <c r="D1030" s="91"/>
      <c r="E1030" s="91"/>
      <c r="F1030" s="91"/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</row>
    <row r="1031" spans="1:16" ht="13.5" customHeight="1">
      <c r="A1031" s="102"/>
      <c r="B1031" s="91"/>
      <c r="C1031" s="91"/>
      <c r="D1031" s="91"/>
      <c r="E1031" s="91"/>
      <c r="F1031" s="91"/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</row>
    <row r="1032" spans="1:16" ht="13.5" customHeight="1">
      <c r="A1032" s="102"/>
      <c r="B1032" s="91"/>
      <c r="C1032" s="91"/>
      <c r="D1032" s="91"/>
      <c r="E1032" s="91"/>
      <c r="F1032" s="91"/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</row>
    <row r="1033" spans="1:16" ht="13.5" customHeight="1">
      <c r="A1033" s="102"/>
      <c r="B1033" s="91"/>
      <c r="C1033" s="91"/>
      <c r="D1033" s="91"/>
      <c r="E1033" s="91"/>
      <c r="F1033" s="91"/>
      <c r="G1033" s="91"/>
      <c r="H1033" s="91"/>
      <c r="I1033" s="91"/>
      <c r="J1033" s="91"/>
      <c r="K1033" s="91"/>
      <c r="L1033" s="91"/>
      <c r="M1033" s="91"/>
      <c r="N1033" s="91"/>
      <c r="O1033" s="91"/>
      <c r="P1033" s="91"/>
    </row>
    <row r="1034" spans="1:16" ht="13.5" customHeight="1">
      <c r="A1034" s="102"/>
      <c r="B1034" s="91"/>
      <c r="C1034" s="91"/>
      <c r="D1034" s="91"/>
      <c r="E1034" s="91"/>
      <c r="F1034" s="91"/>
      <c r="G1034" s="91"/>
      <c r="H1034" s="91"/>
      <c r="I1034" s="91"/>
      <c r="J1034" s="91"/>
      <c r="K1034" s="91"/>
      <c r="L1034" s="91"/>
      <c r="M1034" s="91"/>
      <c r="N1034" s="91"/>
      <c r="O1034" s="91"/>
      <c r="P1034" s="91"/>
    </row>
    <row r="1035" spans="1:16" ht="13.5" customHeight="1">
      <c r="A1035" s="102"/>
      <c r="B1035" s="91"/>
      <c r="C1035" s="91"/>
      <c r="D1035" s="91"/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</row>
    <row r="1036" spans="1:16" ht="13.5" customHeight="1">
      <c r="A1036" s="102"/>
      <c r="B1036" s="91"/>
      <c r="C1036" s="91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3AA587-0570-F34D-918B-06E9B04B6206}">
          <x14:formula1>
            <xm:f>'ZH02'!$B$4:$B$17</xm:f>
          </x14:formula1>
          <xm:sqref>A35:A39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A953-CA0C-1544-9224-040DEBDF6FC9}">
  <dimension ref="F2:Q24"/>
  <sheetViews>
    <sheetView topLeftCell="D1" zoomScale="130" zoomScaleNormal="130" workbookViewId="0">
      <selection activeCell="G2" sqref="G2"/>
    </sheetView>
  </sheetViews>
  <sheetFormatPr defaultColWidth="11" defaultRowHeight="15.75"/>
  <cols>
    <col min="8" max="13" width="14.125" bestFit="1" customWidth="1"/>
    <col min="14" max="14" width="13.125" bestFit="1" customWidth="1"/>
    <col min="16" max="16" width="15.625" bestFit="1" customWidth="1"/>
  </cols>
  <sheetData>
    <row r="2" spans="6:16">
      <c r="G2">
        <f>168</f>
        <v>168</v>
      </c>
    </row>
    <row r="4" spans="6:16">
      <c r="H4" t="s">
        <v>260</v>
      </c>
      <c r="I4" t="s">
        <v>261</v>
      </c>
      <c r="J4" t="s">
        <v>262</v>
      </c>
      <c r="K4" t="s">
        <v>263</v>
      </c>
      <c r="L4" t="s">
        <v>264</v>
      </c>
      <c r="M4" t="s">
        <v>265</v>
      </c>
      <c r="N4" t="s">
        <v>298</v>
      </c>
    </row>
    <row r="5" spans="6:16">
      <c r="F5" t="s">
        <v>275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</row>
    <row r="6" spans="6:16">
      <c r="F6" t="s">
        <v>257</v>
      </c>
      <c r="H6" s="207">
        <v>1</v>
      </c>
      <c r="I6" s="207">
        <v>1</v>
      </c>
      <c r="J6" s="207">
        <v>1</v>
      </c>
      <c r="K6" s="207">
        <v>1</v>
      </c>
      <c r="L6" s="207">
        <v>1</v>
      </c>
      <c r="M6" s="207">
        <v>1</v>
      </c>
      <c r="N6" s="207">
        <v>0.5</v>
      </c>
      <c r="O6" s="207"/>
    </row>
    <row r="7" spans="6:16">
      <c r="F7" t="s">
        <v>259</v>
      </c>
      <c r="H7" s="207">
        <v>1</v>
      </c>
      <c r="I7" s="207">
        <v>1</v>
      </c>
      <c r="J7" s="207">
        <v>1</v>
      </c>
      <c r="K7" s="207">
        <v>1</v>
      </c>
      <c r="L7" s="207">
        <v>1</v>
      </c>
      <c r="M7" s="207">
        <v>1</v>
      </c>
      <c r="N7" s="207"/>
      <c r="O7" s="207"/>
    </row>
    <row r="8" spans="6:16">
      <c r="F8" t="s">
        <v>258</v>
      </c>
      <c r="H8" s="207">
        <v>1</v>
      </c>
      <c r="I8" s="207">
        <v>1</v>
      </c>
      <c r="J8" s="207">
        <v>1</v>
      </c>
      <c r="K8" s="207">
        <v>1</v>
      </c>
      <c r="L8" s="207">
        <v>1</v>
      </c>
      <c r="M8" s="207">
        <v>1</v>
      </c>
      <c r="N8" s="207"/>
      <c r="O8" s="207"/>
    </row>
    <row r="9" spans="6:16">
      <c r="F9" t="s">
        <v>258</v>
      </c>
      <c r="H9" s="207">
        <v>1</v>
      </c>
      <c r="I9" s="207">
        <v>1</v>
      </c>
      <c r="J9" s="207">
        <v>1</v>
      </c>
      <c r="K9" s="207">
        <v>1</v>
      </c>
      <c r="L9" s="207">
        <v>1</v>
      </c>
      <c r="M9" s="207">
        <v>1</v>
      </c>
      <c r="N9" s="207"/>
      <c r="O9" s="207"/>
      <c r="P9">
        <f>SUM(N5:N12)*G2</f>
        <v>420</v>
      </c>
    </row>
    <row r="10" spans="6:16">
      <c r="F10" t="s">
        <v>258</v>
      </c>
      <c r="H10" s="207"/>
      <c r="I10" s="207">
        <v>1</v>
      </c>
      <c r="J10" s="207">
        <v>1</v>
      </c>
      <c r="K10" s="207">
        <v>1</v>
      </c>
      <c r="L10" s="207">
        <v>1</v>
      </c>
      <c r="M10" s="207">
        <v>1</v>
      </c>
      <c r="N10" s="207">
        <v>1</v>
      </c>
      <c r="O10" s="207"/>
    </row>
    <row r="11" spans="6:16">
      <c r="F11" t="s">
        <v>258</v>
      </c>
      <c r="H11" s="207"/>
      <c r="I11" s="207">
        <v>1</v>
      </c>
      <c r="J11" s="207">
        <v>1</v>
      </c>
      <c r="K11" s="207">
        <v>1</v>
      </c>
      <c r="L11" s="207">
        <v>1</v>
      </c>
      <c r="M11" s="207">
        <v>1</v>
      </c>
      <c r="N11" s="207">
        <v>1</v>
      </c>
      <c r="O11" s="207"/>
    </row>
    <row r="12" spans="6:16">
      <c r="F12" t="s">
        <v>274</v>
      </c>
      <c r="H12" s="207"/>
      <c r="I12" s="207">
        <v>1</v>
      </c>
      <c r="J12" s="207">
        <v>1</v>
      </c>
      <c r="K12" s="207">
        <v>1</v>
      </c>
      <c r="L12" s="207">
        <v>1</v>
      </c>
      <c r="M12" s="207">
        <v>1</v>
      </c>
      <c r="N12" s="207"/>
      <c r="O12" s="207"/>
      <c r="P12" s="208">
        <f>SUM(H5:M12)*G2</f>
        <v>6753.6</v>
      </c>
    </row>
    <row r="14" spans="6:16">
      <c r="H14" t="s">
        <v>260</v>
      </c>
      <c r="I14" t="s">
        <v>261</v>
      </c>
      <c r="J14" t="s">
        <v>262</v>
      </c>
      <c r="K14" t="s">
        <v>263</v>
      </c>
      <c r="L14" t="s">
        <v>264</v>
      </c>
      <c r="M14" t="s">
        <v>265</v>
      </c>
      <c r="N14" t="s">
        <v>298</v>
      </c>
    </row>
    <row r="15" spans="6:16">
      <c r="F15" t="str">
        <f t="shared" ref="F15:F22" si="0">F5</f>
        <v>Gestão</v>
      </c>
      <c r="G15">
        <v>320</v>
      </c>
      <c r="H15" s="5"/>
      <c r="I15" s="5"/>
      <c r="J15" s="5"/>
      <c r="K15" s="5"/>
      <c r="L15" s="5"/>
      <c r="M15" s="5"/>
      <c r="N15" s="5"/>
      <c r="O15" s="5"/>
    </row>
    <row r="16" spans="6:16">
      <c r="F16" t="str">
        <f t="shared" si="0"/>
        <v>PM</v>
      </c>
      <c r="G16">
        <v>200</v>
      </c>
      <c r="H16" s="5">
        <f>H6*$G16*$G$2</f>
        <v>33600</v>
      </c>
      <c r="I16" s="5">
        <f t="shared" ref="I16:M16" si="1">I6*$G16*$G$2</f>
        <v>33600</v>
      </c>
      <c r="J16" s="5">
        <f t="shared" si="1"/>
        <v>33600</v>
      </c>
      <c r="K16" s="5">
        <f t="shared" si="1"/>
        <v>33600</v>
      </c>
      <c r="L16" s="5">
        <f t="shared" si="1"/>
        <v>33600</v>
      </c>
      <c r="M16" s="5">
        <f t="shared" si="1"/>
        <v>33600</v>
      </c>
      <c r="N16" s="5">
        <f t="shared" ref="N16" si="2">N6*$G16*$G$2</f>
        <v>16800</v>
      </c>
      <c r="O16" s="5"/>
    </row>
    <row r="17" spans="6:17">
      <c r="F17" t="str">
        <f t="shared" si="0"/>
        <v>Designer</v>
      </c>
      <c r="G17">
        <v>180</v>
      </c>
      <c r="H17" s="5">
        <f>H7*$G17*$G$2</f>
        <v>30240</v>
      </c>
      <c r="I17" s="5">
        <f t="shared" ref="I17:M17" si="3">I7*$G17*$G$2</f>
        <v>30240</v>
      </c>
      <c r="J17" s="5">
        <f t="shared" si="3"/>
        <v>30240</v>
      </c>
      <c r="K17" s="5">
        <f t="shared" si="3"/>
        <v>30240</v>
      </c>
      <c r="L17" s="5">
        <f t="shared" si="3"/>
        <v>30240</v>
      </c>
      <c r="M17" s="5">
        <f t="shared" si="3"/>
        <v>30240</v>
      </c>
      <c r="N17" s="5">
        <f t="shared" ref="N17" si="4">N7*$G17*$G$2</f>
        <v>0</v>
      </c>
      <c r="O17" s="5"/>
    </row>
    <row r="18" spans="6:17">
      <c r="F18" t="str">
        <f t="shared" si="0"/>
        <v>Dev</v>
      </c>
      <c r="G18">
        <v>180</v>
      </c>
      <c r="H18" s="5">
        <f>H8*$G18*$G$2</f>
        <v>30240</v>
      </c>
      <c r="I18" s="5">
        <f t="shared" ref="I18:M18" si="5">I8*$G18*$G$2</f>
        <v>30240</v>
      </c>
      <c r="J18" s="5">
        <f t="shared" si="5"/>
        <v>30240</v>
      </c>
      <c r="K18" s="5">
        <f t="shared" si="5"/>
        <v>30240</v>
      </c>
      <c r="L18" s="5">
        <f t="shared" si="5"/>
        <v>30240</v>
      </c>
      <c r="M18" s="5">
        <f t="shared" si="5"/>
        <v>30240</v>
      </c>
      <c r="N18" s="5">
        <f t="shared" ref="N18" si="6">N8*$G18*$G$2</f>
        <v>0</v>
      </c>
      <c r="O18" s="5"/>
    </row>
    <row r="19" spans="6:17">
      <c r="F19" t="str">
        <f t="shared" si="0"/>
        <v>Dev</v>
      </c>
      <c r="G19">
        <v>180</v>
      </c>
      <c r="H19" s="5">
        <f t="shared" ref="H19:M19" si="7">H9*$G19*$G$2</f>
        <v>30240</v>
      </c>
      <c r="I19" s="5">
        <f t="shared" si="7"/>
        <v>30240</v>
      </c>
      <c r="J19" s="5">
        <f t="shared" si="7"/>
        <v>30240</v>
      </c>
      <c r="K19" s="5">
        <f t="shared" si="7"/>
        <v>30240</v>
      </c>
      <c r="L19" s="5">
        <f t="shared" si="7"/>
        <v>30240</v>
      </c>
      <c r="M19" s="5">
        <f t="shared" si="7"/>
        <v>30240</v>
      </c>
      <c r="N19" s="5">
        <f t="shared" ref="N19" si="8">N9*$G19*$G$2</f>
        <v>0</v>
      </c>
      <c r="O19" s="5"/>
      <c r="P19" s="6">
        <f>SUM(H15:M22)</f>
        <v>1132320</v>
      </c>
      <c r="Q19" s="6">
        <f>P19/P12</f>
        <v>167.66169154228854</v>
      </c>
    </row>
    <row r="20" spans="6:17">
      <c r="F20" t="str">
        <f t="shared" si="0"/>
        <v>Dev</v>
      </c>
      <c r="G20">
        <v>160</v>
      </c>
      <c r="H20" s="5">
        <f t="shared" ref="H20:M20" si="9">H10*$G20*$G$2</f>
        <v>0</v>
      </c>
      <c r="I20" s="5">
        <f t="shared" si="9"/>
        <v>26880</v>
      </c>
      <c r="J20" s="5">
        <f t="shared" si="9"/>
        <v>26880</v>
      </c>
      <c r="K20" s="5">
        <f t="shared" si="9"/>
        <v>26880</v>
      </c>
      <c r="L20" s="5">
        <f t="shared" si="9"/>
        <v>26880</v>
      </c>
      <c r="M20" s="5">
        <f t="shared" si="9"/>
        <v>26880</v>
      </c>
      <c r="N20" s="5">
        <f t="shared" ref="N20" si="10">N10*$G20*$G$2</f>
        <v>26880</v>
      </c>
      <c r="O20" s="5"/>
      <c r="P20" s="6">
        <f>P19-H24</f>
        <v>1008000</v>
      </c>
    </row>
    <row r="21" spans="6:17">
      <c r="F21" t="str">
        <f t="shared" si="0"/>
        <v>Dev</v>
      </c>
      <c r="G21">
        <v>140</v>
      </c>
      <c r="H21" s="5">
        <f t="shared" ref="H21:M21" si="11">H11*$G21*$G$2</f>
        <v>0</v>
      </c>
      <c r="I21" s="5">
        <f t="shared" si="11"/>
        <v>23520</v>
      </c>
      <c r="J21" s="5">
        <f t="shared" si="11"/>
        <v>23520</v>
      </c>
      <c r="K21" s="5">
        <f t="shared" si="11"/>
        <v>23520</v>
      </c>
      <c r="L21" s="5">
        <f t="shared" si="11"/>
        <v>23520</v>
      </c>
      <c r="M21" s="5">
        <f t="shared" si="11"/>
        <v>23520</v>
      </c>
      <c r="N21" s="5">
        <f t="shared" ref="N21" si="12">N11*$G21*$G$2</f>
        <v>23520</v>
      </c>
      <c r="O21" s="5"/>
      <c r="P21" s="5">
        <v>1178352</v>
      </c>
    </row>
    <row r="22" spans="6:17">
      <c r="F22" t="str">
        <f t="shared" si="0"/>
        <v>QA</v>
      </c>
      <c r="G22">
        <v>160</v>
      </c>
      <c r="H22" s="5">
        <f t="shared" ref="H22:M22" si="13">H12*$G22*$G$2</f>
        <v>0</v>
      </c>
      <c r="I22" s="5">
        <f t="shared" si="13"/>
        <v>26880</v>
      </c>
      <c r="J22" s="5">
        <f t="shared" si="13"/>
        <v>26880</v>
      </c>
      <c r="K22" s="5">
        <f t="shared" si="13"/>
        <v>26880</v>
      </c>
      <c r="L22" s="5">
        <f t="shared" si="13"/>
        <v>26880</v>
      </c>
      <c r="M22" s="5">
        <f t="shared" si="13"/>
        <v>26880</v>
      </c>
      <c r="N22" s="5">
        <f t="shared" ref="N22" si="14">N12*$G22*$G$2</f>
        <v>0</v>
      </c>
      <c r="O22" s="5"/>
    </row>
    <row r="23" spans="6:17">
      <c r="H23" s="5"/>
      <c r="I23" s="5"/>
      <c r="J23" s="5"/>
      <c r="K23" s="5"/>
      <c r="L23" s="5"/>
      <c r="M23" s="5"/>
      <c r="N23" s="5"/>
      <c r="O23" s="5"/>
    </row>
    <row r="24" spans="6:17">
      <c r="H24" s="5">
        <f>SUM(H15:H22)</f>
        <v>124320</v>
      </c>
      <c r="I24" s="5">
        <f t="shared" ref="I24:M24" si="15">SUM(I15:I22)</f>
        <v>201600</v>
      </c>
      <c r="J24" s="5">
        <f t="shared" si="15"/>
        <v>201600</v>
      </c>
      <c r="K24" s="5">
        <f t="shared" si="15"/>
        <v>201600</v>
      </c>
      <c r="L24" s="5">
        <f t="shared" si="15"/>
        <v>201600</v>
      </c>
      <c r="M24" s="5">
        <f t="shared" si="15"/>
        <v>201600</v>
      </c>
      <c r="N24" s="5">
        <f t="shared" ref="N24" si="16">SUM(N15:N22)</f>
        <v>67200</v>
      </c>
      <c r="O24" s="5"/>
    </row>
  </sheetData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EC4F-F4C9-6140-B8F2-4230AA3A5492}">
  <dimension ref="A1:Q81"/>
  <sheetViews>
    <sheetView showGridLines="0" zoomScaleNormal="170" workbookViewId="0">
      <selection activeCell="P51" sqref="P51"/>
    </sheetView>
  </sheetViews>
  <sheetFormatPr defaultColWidth="11" defaultRowHeight="15.75"/>
  <cols>
    <col min="1" max="1" width="24.625" bestFit="1" customWidth="1"/>
    <col min="2" max="2" width="5.5" hidden="1" customWidth="1"/>
    <col min="3" max="5" width="7.5" bestFit="1" customWidth="1"/>
    <col min="6" max="7" width="7.625" bestFit="1" customWidth="1"/>
    <col min="8" max="13" width="11.125" bestFit="1" customWidth="1"/>
    <col min="17" max="17" width="13" bestFit="1" customWidth="1"/>
  </cols>
  <sheetData>
    <row r="1" spans="1:17" ht="21">
      <c r="A1" s="150" t="s">
        <v>126</v>
      </c>
      <c r="B1" s="151">
        <v>44927</v>
      </c>
      <c r="C1" s="151">
        <v>44958</v>
      </c>
      <c r="D1" s="90">
        <v>44986</v>
      </c>
      <c r="E1" s="151">
        <v>45017</v>
      </c>
      <c r="F1" s="90">
        <v>45047</v>
      </c>
      <c r="G1" s="151">
        <v>45078</v>
      </c>
      <c r="H1" s="90">
        <v>45108</v>
      </c>
      <c r="I1" s="151">
        <v>45139</v>
      </c>
      <c r="J1" s="90">
        <v>45170</v>
      </c>
      <c r="K1" s="151">
        <v>45200</v>
      </c>
      <c r="L1" s="90">
        <v>45231</v>
      </c>
      <c r="M1" s="151">
        <v>45261</v>
      </c>
    </row>
    <row r="2" spans="1:17">
      <c r="A2" s="152"/>
      <c r="B2" s="119" t="s">
        <v>76</v>
      </c>
      <c r="C2" s="119" t="s">
        <v>76</v>
      </c>
      <c r="D2" s="119" t="s">
        <v>76</v>
      </c>
      <c r="E2" s="119" t="s">
        <v>76</v>
      </c>
      <c r="F2" s="119" t="s">
        <v>76</v>
      </c>
      <c r="G2" s="119" t="s">
        <v>76</v>
      </c>
      <c r="H2" s="119" t="s">
        <v>76</v>
      </c>
      <c r="I2" s="119" t="s">
        <v>76</v>
      </c>
      <c r="J2" s="119" t="s">
        <v>76</v>
      </c>
      <c r="K2" s="119" t="s">
        <v>76</v>
      </c>
      <c r="L2" s="119" t="s">
        <v>76</v>
      </c>
      <c r="M2" s="119" t="s">
        <v>76</v>
      </c>
    </row>
    <row r="3" spans="1:17">
      <c r="A3" s="125" t="s">
        <v>127</v>
      </c>
      <c r="B3" s="126">
        <f t="shared" ref="B3:M3" si="0">SUM(B4:B22)</f>
        <v>0</v>
      </c>
      <c r="C3" s="126">
        <f t="shared" si="0"/>
        <v>0</v>
      </c>
      <c r="D3" s="126">
        <f t="shared" si="0"/>
        <v>-594</v>
      </c>
      <c r="E3" s="126">
        <f t="shared" si="0"/>
        <v>-1163.6399999999999</v>
      </c>
      <c r="F3" s="126">
        <f t="shared" si="0"/>
        <v>-2353</v>
      </c>
      <c r="G3" s="126">
        <f t="shared" si="0"/>
        <v>-6506.78</v>
      </c>
      <c r="H3" s="126">
        <f t="shared" si="0"/>
        <v>-6077.85</v>
      </c>
      <c r="I3" s="126">
        <f t="shared" si="0"/>
        <v>-1140</v>
      </c>
      <c r="J3" s="126">
        <f t="shared" si="0"/>
        <v>-1140</v>
      </c>
      <c r="K3" s="126">
        <f t="shared" si="0"/>
        <v>-1140</v>
      </c>
      <c r="L3" s="126">
        <f t="shared" si="0"/>
        <v>-1140</v>
      </c>
      <c r="M3" s="126">
        <f t="shared" si="0"/>
        <v>-1140</v>
      </c>
    </row>
    <row r="4" spans="1:17">
      <c r="A4" s="147" t="s">
        <v>128</v>
      </c>
      <c r="B4" s="153"/>
      <c r="C4" s="153"/>
      <c r="D4" s="237">
        <v>-214</v>
      </c>
      <c r="E4" s="153"/>
      <c r="F4" s="153"/>
      <c r="G4" s="111"/>
      <c r="H4" s="111"/>
      <c r="I4" s="111"/>
      <c r="J4" s="111"/>
      <c r="K4" s="96"/>
      <c r="L4" s="111"/>
      <c r="M4" s="111"/>
    </row>
    <row r="5" spans="1:17">
      <c r="A5" s="147" t="s">
        <v>218</v>
      </c>
      <c r="B5" s="153"/>
      <c r="C5" s="153"/>
      <c r="D5" s="153"/>
      <c r="E5" s="237">
        <f>-94.13-60</f>
        <v>-154.13</v>
      </c>
      <c r="F5" s="153"/>
      <c r="G5" s="237">
        <f>-580.82-30</f>
        <v>-610.82000000000005</v>
      </c>
      <c r="H5" s="111"/>
      <c r="I5" s="111"/>
      <c r="J5" s="111"/>
      <c r="K5" s="96"/>
      <c r="L5" s="111"/>
      <c r="M5" s="111"/>
      <c r="P5" s="230" t="s">
        <v>321</v>
      </c>
      <c r="Q5" s="231">
        <v>147.36000000000001</v>
      </c>
    </row>
    <row r="6" spans="1:17">
      <c r="A6" s="147" t="s">
        <v>271</v>
      </c>
      <c r="B6" s="153"/>
      <c r="C6" s="153"/>
      <c r="D6" s="153"/>
      <c r="E6" s="153"/>
      <c r="F6" s="153"/>
      <c r="G6" s="153"/>
      <c r="H6" s="238">
        <v>-2650</v>
      </c>
      <c r="I6" s="111"/>
      <c r="J6" s="111"/>
      <c r="K6" s="96"/>
      <c r="L6" s="111"/>
      <c r="M6" s="111"/>
      <c r="P6" s="232" t="s">
        <v>322</v>
      </c>
      <c r="Q6" s="233">
        <v>50.23</v>
      </c>
    </row>
    <row r="7" spans="1:17">
      <c r="A7" s="147" t="s">
        <v>317</v>
      </c>
      <c r="B7" s="153"/>
      <c r="C7" s="153"/>
      <c r="D7" s="153"/>
      <c r="E7" s="153"/>
      <c r="F7" s="153"/>
      <c r="G7" s="153"/>
      <c r="H7" s="238">
        <f>-65*3</f>
        <v>-195</v>
      </c>
      <c r="I7" s="111"/>
      <c r="J7" s="111"/>
      <c r="K7" s="96"/>
      <c r="L7" s="111"/>
      <c r="M7" s="111"/>
      <c r="P7" s="232" t="s">
        <v>323</v>
      </c>
      <c r="Q7" s="233">
        <v>74.2</v>
      </c>
    </row>
    <row r="8" spans="1:17">
      <c r="A8" s="147" t="s">
        <v>318</v>
      </c>
      <c r="B8" s="153"/>
      <c r="C8" s="153"/>
      <c r="D8" s="153"/>
      <c r="E8" s="153"/>
      <c r="F8" s="153"/>
      <c r="G8" s="153"/>
      <c r="H8" s="238">
        <f>-85*4</f>
        <v>-340</v>
      </c>
      <c r="I8" s="111"/>
      <c r="J8" s="111"/>
      <c r="K8" s="96"/>
      <c r="L8" s="111"/>
      <c r="M8" s="111"/>
      <c r="P8" s="232" t="s">
        <v>324</v>
      </c>
      <c r="Q8" s="233">
        <v>55.99</v>
      </c>
    </row>
    <row r="9" spans="1:17">
      <c r="A9" s="147" t="s">
        <v>129</v>
      </c>
      <c r="B9" s="153"/>
      <c r="C9" s="153"/>
      <c r="D9" s="153"/>
      <c r="E9" s="237">
        <f>-55-25</f>
        <v>-80</v>
      </c>
      <c r="F9" s="153"/>
      <c r="G9" s="237">
        <f>-700.6-23.01</f>
        <v>-723.61</v>
      </c>
      <c r="H9" s="111"/>
      <c r="I9" s="111"/>
      <c r="J9" s="111"/>
      <c r="K9" s="96"/>
      <c r="L9" s="111"/>
      <c r="M9" s="111"/>
      <c r="P9" s="232" t="s">
        <v>322</v>
      </c>
      <c r="Q9" s="231">
        <v>56.33</v>
      </c>
    </row>
    <row r="10" spans="1:17">
      <c r="A10" s="147" t="s">
        <v>214</v>
      </c>
      <c r="B10" s="153"/>
      <c r="C10" s="153"/>
      <c r="D10" s="153"/>
      <c r="E10" s="153"/>
      <c r="F10" s="237">
        <v>-120</v>
      </c>
      <c r="G10" s="111"/>
      <c r="H10" s="238">
        <f>-22.9*3</f>
        <v>-68.699999999999989</v>
      </c>
      <c r="I10" s="111"/>
      <c r="J10" s="111"/>
      <c r="K10" s="96"/>
      <c r="L10" s="111"/>
      <c r="M10" s="111"/>
      <c r="P10" s="232" t="s">
        <v>324</v>
      </c>
      <c r="Q10" s="233">
        <v>55.99</v>
      </c>
    </row>
    <row r="11" spans="1:17">
      <c r="A11" s="147" t="s">
        <v>130</v>
      </c>
      <c r="B11" s="153"/>
      <c r="C11" s="153"/>
      <c r="D11" s="153"/>
      <c r="E11" s="237">
        <f>-70-40</f>
        <v>-110</v>
      </c>
      <c r="F11" s="237">
        <v>-200</v>
      </c>
      <c r="G11" s="238">
        <f>-240-37</f>
        <v>-277</v>
      </c>
      <c r="H11" s="238">
        <v>-180</v>
      </c>
      <c r="I11" s="111">
        <v>-240</v>
      </c>
      <c r="J11" s="111">
        <v>-240</v>
      </c>
      <c r="K11" s="111">
        <v>-240</v>
      </c>
      <c r="L11" s="111">
        <v>-240</v>
      </c>
      <c r="M11" s="111">
        <v>-240</v>
      </c>
      <c r="P11" s="232" t="s">
        <v>325</v>
      </c>
      <c r="Q11" s="233">
        <v>70.400000000000006</v>
      </c>
    </row>
    <row r="12" spans="1:17">
      <c r="A12" s="147" t="s">
        <v>131</v>
      </c>
      <c r="B12" s="153"/>
      <c r="C12" s="153"/>
      <c r="D12" s="153"/>
      <c r="E12" s="153"/>
      <c r="F12" s="237">
        <f>-110-98</f>
        <v>-208</v>
      </c>
      <c r="G12" s="111"/>
      <c r="H12" s="111"/>
      <c r="I12" s="111"/>
      <c r="J12" s="111"/>
      <c r="K12" s="96"/>
      <c r="L12" s="111"/>
      <c r="M12" s="111"/>
      <c r="P12" s="232" t="s">
        <v>324</v>
      </c>
      <c r="Q12" s="233">
        <v>55.99</v>
      </c>
    </row>
    <row r="13" spans="1:17">
      <c r="A13" s="147" t="s">
        <v>132</v>
      </c>
      <c r="B13" s="153"/>
      <c r="C13" s="153"/>
      <c r="D13" s="153"/>
      <c r="E13" s="153"/>
      <c r="F13" s="237">
        <v>-155</v>
      </c>
      <c r="G13" s="111"/>
      <c r="H13" s="238">
        <v>-163</v>
      </c>
      <c r="I13" s="111"/>
      <c r="J13" s="111"/>
      <c r="K13" s="96"/>
      <c r="L13" s="111"/>
      <c r="M13" s="111"/>
      <c r="P13" s="232" t="s">
        <v>324</v>
      </c>
      <c r="Q13" s="233">
        <v>55.99</v>
      </c>
    </row>
    <row r="14" spans="1:17">
      <c r="A14" s="147" t="s">
        <v>133</v>
      </c>
      <c r="B14" s="153"/>
      <c r="C14" s="153"/>
      <c r="D14" s="153"/>
      <c r="E14" s="153"/>
      <c r="F14" s="237">
        <v>-900</v>
      </c>
      <c r="G14" s="111"/>
      <c r="H14" s="238">
        <f>-314.6-400</f>
        <v>-714.6</v>
      </c>
      <c r="I14" s="111">
        <v>-900</v>
      </c>
      <c r="J14" s="111">
        <v>-900</v>
      </c>
      <c r="K14" s="111">
        <v>-900</v>
      </c>
      <c r="L14" s="111">
        <v>-900</v>
      </c>
      <c r="M14" s="111">
        <v>-900</v>
      </c>
      <c r="P14" s="232" t="s">
        <v>322</v>
      </c>
      <c r="Q14" s="233">
        <v>57.2</v>
      </c>
    </row>
    <row r="15" spans="1:17">
      <c r="A15" s="147" t="s">
        <v>134</v>
      </c>
      <c r="B15" s="153"/>
      <c r="C15" s="153"/>
      <c r="D15" s="153"/>
      <c r="E15" s="237">
        <f>-480-40</f>
        <v>-520</v>
      </c>
      <c r="F15" s="153"/>
      <c r="G15" s="111"/>
      <c r="H15" s="111"/>
      <c r="I15" s="111"/>
      <c r="J15" s="111"/>
      <c r="K15" s="96"/>
      <c r="L15" s="111"/>
      <c r="M15" s="111"/>
      <c r="P15" s="232" t="s">
        <v>326</v>
      </c>
      <c r="Q15" s="233">
        <v>119.65</v>
      </c>
    </row>
    <row r="16" spans="1:17">
      <c r="A16" s="147" t="s">
        <v>135</v>
      </c>
      <c r="B16" s="153"/>
      <c r="C16" s="153"/>
      <c r="D16" s="153"/>
      <c r="E16" s="153"/>
      <c r="F16" s="237">
        <f>-220-120-80-130-110</f>
        <v>-660</v>
      </c>
      <c r="G16" s="238">
        <f>-140-123-281-139.9-294.12-122.8-280.54-122.97-139.22-84.58-139.6</f>
        <v>-1867.7299999999998</v>
      </c>
      <c r="H16" s="238">
        <f>-123.6-374.49-33-41.9</f>
        <v>-572.99</v>
      </c>
      <c r="I16" s="111"/>
      <c r="J16" s="111"/>
      <c r="K16" s="96"/>
      <c r="L16" s="111"/>
      <c r="M16" s="111"/>
      <c r="P16" s="232" t="s">
        <v>327</v>
      </c>
      <c r="Q16" s="233">
        <v>1550</v>
      </c>
    </row>
    <row r="17" spans="1:17">
      <c r="A17" s="147" t="s">
        <v>223</v>
      </c>
      <c r="B17" s="153"/>
      <c r="C17" s="153"/>
      <c r="D17" s="153"/>
      <c r="E17" s="153"/>
      <c r="F17" s="153"/>
      <c r="G17" s="238">
        <f>-173*2-30</f>
        <v>-376</v>
      </c>
      <c r="H17" s="111"/>
      <c r="I17" s="111"/>
      <c r="J17" s="111"/>
      <c r="K17" s="96"/>
      <c r="L17" s="111"/>
      <c r="M17" s="111"/>
      <c r="P17" s="232" t="s">
        <v>328</v>
      </c>
      <c r="Q17" s="233">
        <v>660</v>
      </c>
    </row>
    <row r="18" spans="1:17">
      <c r="A18" s="147" t="s">
        <v>136</v>
      </c>
      <c r="B18" s="153"/>
      <c r="C18" s="153"/>
      <c r="D18" s="237">
        <v>-380</v>
      </c>
      <c r="E18" s="237">
        <f>-128.03-14.5-34.98-27</f>
        <v>-204.51</v>
      </c>
      <c r="F18" s="153"/>
      <c r="G18" s="238">
        <f>-283.63-30-446.4-51.17</f>
        <v>-811.19999999999993</v>
      </c>
      <c r="H18" s="238">
        <f>-450.6-74.2-345</f>
        <v>-869.80000000000007</v>
      </c>
      <c r="I18" s="111"/>
      <c r="J18" s="111"/>
      <c r="K18" s="96"/>
      <c r="L18" s="111"/>
      <c r="M18" s="111"/>
      <c r="P18" s="232" t="s">
        <v>329</v>
      </c>
      <c r="Q18" s="233">
        <v>173.67</v>
      </c>
    </row>
    <row r="19" spans="1:17">
      <c r="A19" s="147" t="s">
        <v>319</v>
      </c>
      <c r="B19" s="153"/>
      <c r="C19" s="153"/>
      <c r="D19" s="153" t="s">
        <v>320</v>
      </c>
      <c r="E19" s="153"/>
      <c r="F19" s="153"/>
      <c r="G19" s="111"/>
      <c r="H19" s="238">
        <v>-70</v>
      </c>
      <c r="I19" s="111"/>
      <c r="J19" s="111"/>
      <c r="K19" s="96"/>
      <c r="L19" s="111"/>
      <c r="M19" s="111"/>
      <c r="P19" s="234" t="s">
        <v>312</v>
      </c>
      <c r="Q19" s="235">
        <f>SUM(Q5:Q18)</f>
        <v>3183</v>
      </c>
    </row>
    <row r="20" spans="1:17">
      <c r="A20" s="147" t="s">
        <v>217</v>
      </c>
      <c r="B20" s="153"/>
      <c r="C20" s="153"/>
      <c r="D20" s="153"/>
      <c r="E20" s="153"/>
      <c r="F20" s="153"/>
      <c r="G20" s="238">
        <f>-900-632.61-242.82-64.99</f>
        <v>-1840.42</v>
      </c>
      <c r="H20" s="111"/>
      <c r="I20" s="111"/>
      <c r="J20" s="111"/>
      <c r="K20" s="96"/>
      <c r="L20" s="111"/>
      <c r="M20" s="111"/>
    </row>
    <row r="21" spans="1:17">
      <c r="A21" s="147" t="s">
        <v>268</v>
      </c>
      <c r="B21" s="153"/>
      <c r="C21" s="153"/>
      <c r="D21" s="153"/>
      <c r="E21" s="153"/>
      <c r="F21" s="153"/>
      <c r="G21" s="111"/>
      <c r="H21" s="238">
        <v>-253.76</v>
      </c>
      <c r="I21" s="111"/>
      <c r="J21" s="111"/>
      <c r="K21" s="96"/>
      <c r="L21" s="111"/>
      <c r="M21" s="111"/>
    </row>
    <row r="22" spans="1:17">
      <c r="A22" s="147" t="s">
        <v>137</v>
      </c>
      <c r="B22" s="153"/>
      <c r="C22" s="153"/>
      <c r="D22" s="153"/>
      <c r="E22" s="237">
        <v>-95</v>
      </c>
      <c r="F22" s="237">
        <v>-110</v>
      </c>
      <c r="G22" s="111"/>
      <c r="H22" s="111"/>
      <c r="I22" s="111"/>
      <c r="J22" s="111"/>
      <c r="K22" s="96"/>
      <c r="L22" s="111"/>
      <c r="M22" s="111"/>
    </row>
    <row r="23" spans="1:17">
      <c r="A23" s="125" t="s">
        <v>138</v>
      </c>
      <c r="B23" s="126">
        <f t="shared" ref="B23:M23" si="1">SUM(B24:B33)</f>
        <v>0</v>
      </c>
      <c r="C23" s="126">
        <f t="shared" si="1"/>
        <v>0</v>
      </c>
      <c r="D23" s="126">
        <f t="shared" si="1"/>
        <v>0</v>
      </c>
      <c r="E23" s="126">
        <f t="shared" si="1"/>
        <v>-785.99</v>
      </c>
      <c r="F23" s="126">
        <f t="shared" si="1"/>
        <v>-422</v>
      </c>
      <c r="G23" s="126">
        <f t="shared" si="1"/>
        <v>-1537.23</v>
      </c>
      <c r="H23" s="126">
        <f t="shared" si="1"/>
        <v>-973</v>
      </c>
      <c r="I23" s="126">
        <f t="shared" si="1"/>
        <v>0</v>
      </c>
      <c r="J23" s="126">
        <f t="shared" si="1"/>
        <v>0</v>
      </c>
      <c r="K23" s="126">
        <f t="shared" si="1"/>
        <v>0</v>
      </c>
      <c r="L23" s="126">
        <f t="shared" si="1"/>
        <v>0</v>
      </c>
      <c r="M23" s="126">
        <f t="shared" si="1"/>
        <v>0</v>
      </c>
    </row>
    <row r="24" spans="1:17">
      <c r="A24" s="147" t="s">
        <v>57</v>
      </c>
      <c r="B24" s="96"/>
      <c r="C24" s="97"/>
      <c r="D24" s="96"/>
      <c r="E24" s="239">
        <f>-40-40-55.99</f>
        <v>-135.99</v>
      </c>
      <c r="F24" s="96"/>
      <c r="G24" s="96"/>
      <c r="H24" s="96"/>
      <c r="I24" s="96"/>
      <c r="J24" s="96"/>
      <c r="K24" s="96"/>
      <c r="L24" s="96"/>
      <c r="M24" s="96"/>
    </row>
    <row r="25" spans="1:17">
      <c r="A25" s="147" t="s">
        <v>136</v>
      </c>
      <c r="B25" s="96"/>
      <c r="C25" s="97"/>
      <c r="D25" s="96"/>
      <c r="E25" s="96"/>
      <c r="F25" s="96"/>
      <c r="G25" s="96"/>
      <c r="H25" s="239">
        <v>-308.36</v>
      </c>
      <c r="I25" s="96"/>
      <c r="J25" s="96"/>
      <c r="K25" s="96"/>
      <c r="L25" s="96"/>
      <c r="M25" s="96"/>
    </row>
    <row r="26" spans="1:17">
      <c r="A26" s="147" t="s">
        <v>247</v>
      </c>
      <c r="B26" s="96"/>
      <c r="C26" s="97"/>
      <c r="D26" s="96"/>
      <c r="E26" s="96"/>
      <c r="F26" s="96"/>
      <c r="G26" s="96"/>
      <c r="H26" s="96"/>
      <c r="I26" s="96"/>
      <c r="J26" s="96"/>
      <c r="K26" s="96"/>
      <c r="L26" s="96"/>
      <c r="M26" s="96"/>
    </row>
    <row r="27" spans="1:17">
      <c r="A27" s="147" t="s">
        <v>254</v>
      </c>
      <c r="B27" s="96"/>
      <c r="C27" s="97"/>
      <c r="D27" s="96"/>
      <c r="E27" s="96"/>
      <c r="F27" s="96"/>
      <c r="G27" s="239">
        <v>-459.16</v>
      </c>
      <c r="H27" s="239">
        <v>-147.36000000000001</v>
      </c>
      <c r="I27" s="96"/>
      <c r="J27" s="96"/>
      <c r="K27" s="96"/>
      <c r="L27" s="96"/>
      <c r="M27" s="96"/>
    </row>
    <row r="28" spans="1:17">
      <c r="A28" s="147" t="s">
        <v>57</v>
      </c>
      <c r="B28" s="96"/>
      <c r="C28" s="97"/>
      <c r="D28" s="96"/>
      <c r="E28" s="96"/>
      <c r="F28" s="96"/>
      <c r="G28" s="239">
        <v>-111.98</v>
      </c>
      <c r="H28" s="239">
        <v>-343.61</v>
      </c>
      <c r="I28" s="96"/>
      <c r="J28" s="96"/>
      <c r="K28" s="96"/>
      <c r="L28" s="96"/>
      <c r="M28" s="96"/>
    </row>
    <row r="29" spans="1:17">
      <c r="A29" s="147" t="s">
        <v>255</v>
      </c>
      <c r="B29" s="96"/>
      <c r="C29" s="97"/>
      <c r="D29" s="96"/>
      <c r="E29" s="96"/>
      <c r="F29" s="96"/>
      <c r="G29" s="239">
        <v>-624.24</v>
      </c>
      <c r="H29" s="96"/>
      <c r="I29" s="96"/>
      <c r="J29" s="96"/>
      <c r="K29" s="96"/>
      <c r="L29" s="96"/>
      <c r="M29" s="96"/>
    </row>
    <row r="30" spans="1:17">
      <c r="A30" s="147" t="s">
        <v>245</v>
      </c>
      <c r="B30" s="96"/>
      <c r="C30" s="97"/>
      <c r="D30" s="96"/>
      <c r="E30" s="96"/>
      <c r="F30" s="96"/>
      <c r="G30" s="239">
        <v>-341.85</v>
      </c>
      <c r="H30" s="96"/>
      <c r="I30" s="96"/>
      <c r="J30" s="96"/>
      <c r="K30" s="96"/>
      <c r="L30" s="96"/>
      <c r="M30" s="96"/>
    </row>
    <row r="31" spans="1:17">
      <c r="A31" s="147" t="s">
        <v>211</v>
      </c>
      <c r="B31" s="96"/>
      <c r="C31" s="97"/>
      <c r="D31" s="96"/>
      <c r="E31" s="96"/>
      <c r="F31" s="239">
        <v>-127</v>
      </c>
      <c r="G31" s="96"/>
      <c r="H31" s="96"/>
      <c r="I31" s="96"/>
      <c r="J31" s="96"/>
      <c r="K31" s="96"/>
      <c r="L31" s="96"/>
      <c r="M31" s="96"/>
    </row>
    <row r="32" spans="1:17">
      <c r="A32" s="147" t="s">
        <v>139</v>
      </c>
      <c r="B32" s="96"/>
      <c r="C32" s="97"/>
      <c r="D32" s="96"/>
      <c r="E32" s="96"/>
      <c r="F32" s="239">
        <v>-295</v>
      </c>
      <c r="G32" s="96"/>
      <c r="H32" s="239">
        <v>-173.67</v>
      </c>
      <c r="I32" s="96"/>
      <c r="J32" s="96"/>
      <c r="K32" s="96"/>
      <c r="L32" s="96"/>
      <c r="M32" s="96"/>
    </row>
    <row r="33" spans="1:13">
      <c r="A33" s="147" t="s">
        <v>243</v>
      </c>
      <c r="B33" s="96"/>
      <c r="C33" s="97"/>
      <c r="D33" s="96"/>
      <c r="E33" s="213">
        <v>-650</v>
      </c>
      <c r="F33" s="96"/>
      <c r="G33" s="96"/>
      <c r="H33" s="96"/>
      <c r="I33" s="96"/>
      <c r="J33" s="96"/>
      <c r="K33" s="96"/>
      <c r="L33" s="96"/>
      <c r="M33" s="96"/>
    </row>
    <row r="34" spans="1:13">
      <c r="A34" s="125" t="s">
        <v>140</v>
      </c>
      <c r="B34" s="126">
        <f t="shared" ref="B34:M34" si="2">SUM(B35:B47)</f>
        <v>0</v>
      </c>
      <c r="C34" s="126">
        <f t="shared" si="2"/>
        <v>0</v>
      </c>
      <c r="D34" s="126">
        <f t="shared" si="2"/>
        <v>-142.33000000000001</v>
      </c>
      <c r="E34" s="126">
        <f t="shared" si="2"/>
        <v>-1076.6100000000001</v>
      </c>
      <c r="F34" s="126">
        <f t="shared" si="2"/>
        <v>-1162.04</v>
      </c>
      <c r="G34" s="126">
        <f t="shared" si="2"/>
        <v>-796.31999999999994</v>
      </c>
      <c r="H34" s="126">
        <f t="shared" si="2"/>
        <v>-1186.0500000000002</v>
      </c>
      <c r="I34" s="126">
        <f t="shared" si="2"/>
        <v>0</v>
      </c>
      <c r="J34" s="126">
        <f t="shared" si="2"/>
        <v>0</v>
      </c>
      <c r="K34" s="126">
        <f t="shared" si="2"/>
        <v>0</v>
      </c>
      <c r="L34" s="126">
        <f t="shared" si="2"/>
        <v>0</v>
      </c>
      <c r="M34" s="126">
        <f t="shared" si="2"/>
        <v>0</v>
      </c>
    </row>
    <row r="35" spans="1:13">
      <c r="A35" s="147" t="s">
        <v>219</v>
      </c>
      <c r="B35" s="96"/>
      <c r="C35" s="97"/>
      <c r="D35" s="241">
        <v>-32.700000000000003</v>
      </c>
      <c r="E35" s="241">
        <f>-39.14-43.89-48.16</f>
        <v>-131.19</v>
      </c>
      <c r="F35" s="239">
        <v>-36.75</v>
      </c>
      <c r="G35" s="97"/>
      <c r="H35" s="96"/>
      <c r="I35" s="97"/>
      <c r="J35" s="96"/>
      <c r="K35" s="97"/>
      <c r="L35" s="96"/>
      <c r="M35" s="123"/>
    </row>
    <row r="36" spans="1:13">
      <c r="A36" s="147" t="s">
        <v>215</v>
      </c>
      <c r="B36" s="96"/>
      <c r="C36" s="97"/>
      <c r="D36" s="96"/>
      <c r="E36" s="96"/>
      <c r="F36" s="239">
        <v>-291.27999999999997</v>
      </c>
      <c r="G36" s="97"/>
      <c r="H36" s="96"/>
      <c r="I36" s="97"/>
      <c r="J36" s="96"/>
      <c r="K36" s="97"/>
      <c r="L36" s="96"/>
      <c r="M36" s="96"/>
    </row>
    <row r="37" spans="1:13">
      <c r="A37" s="147" t="s">
        <v>141</v>
      </c>
      <c r="B37" s="96"/>
      <c r="C37" s="97"/>
      <c r="D37" s="239">
        <v>-56.63</v>
      </c>
      <c r="E37" s="239">
        <f>-46.16-34.65</f>
        <v>-80.81</v>
      </c>
      <c r="F37" s="239">
        <v>-40.76</v>
      </c>
      <c r="G37" s="97"/>
      <c r="H37" s="96">
        <v>-248.3</v>
      </c>
      <c r="I37" s="97"/>
      <c r="J37" s="96"/>
      <c r="K37" s="97"/>
      <c r="L37" s="96"/>
      <c r="M37" s="96"/>
    </row>
    <row r="38" spans="1:13">
      <c r="A38" s="147" t="s">
        <v>142</v>
      </c>
      <c r="B38" s="96"/>
      <c r="C38" s="97"/>
      <c r="D38" s="96"/>
      <c r="E38" s="239">
        <v>-40</v>
      </c>
      <c r="F38" s="96"/>
      <c r="G38" s="97"/>
      <c r="H38" s="96"/>
      <c r="I38" s="97"/>
      <c r="J38" s="96"/>
      <c r="K38" s="97"/>
      <c r="L38" s="96"/>
      <c r="M38" s="96"/>
    </row>
    <row r="39" spans="1:13">
      <c r="A39" s="147" t="s">
        <v>272</v>
      </c>
      <c r="B39" s="96"/>
      <c r="C39" s="97"/>
      <c r="D39" s="96"/>
      <c r="E39" s="239"/>
      <c r="F39" s="96"/>
      <c r="G39" s="97"/>
      <c r="H39" s="96"/>
      <c r="I39" s="97"/>
      <c r="J39" s="96"/>
      <c r="K39" s="97"/>
      <c r="L39" s="96"/>
      <c r="M39" s="96"/>
    </row>
    <row r="40" spans="1:13">
      <c r="A40" s="147" t="s">
        <v>143</v>
      </c>
      <c r="B40" s="96"/>
      <c r="C40" s="97"/>
      <c r="D40" s="96"/>
      <c r="E40" s="239">
        <v>-36.619999999999997</v>
      </c>
      <c r="F40" s="239">
        <v>-129.80000000000001</v>
      </c>
      <c r="G40" s="97"/>
      <c r="H40" s="96"/>
      <c r="I40" s="97"/>
      <c r="J40" s="96"/>
      <c r="K40" s="97"/>
      <c r="L40" s="96"/>
      <c r="M40" s="96"/>
    </row>
    <row r="41" spans="1:13">
      <c r="A41" s="147" t="s">
        <v>144</v>
      </c>
      <c r="B41" s="96"/>
      <c r="C41" s="97"/>
      <c r="D41" s="96"/>
      <c r="E41" s="96"/>
      <c r="F41" s="239">
        <v>-271.48</v>
      </c>
      <c r="G41" s="97"/>
      <c r="H41" s="96"/>
      <c r="I41" s="97"/>
      <c r="J41" s="96"/>
      <c r="K41" s="97"/>
      <c r="L41" s="96"/>
      <c r="M41" s="96"/>
    </row>
    <row r="42" spans="1:13">
      <c r="A42" s="147" t="s">
        <v>245</v>
      </c>
      <c r="B42" s="96"/>
      <c r="C42" s="97"/>
      <c r="D42" s="96"/>
      <c r="E42" s="96"/>
      <c r="F42" s="96"/>
      <c r="G42" s="242">
        <v>-214.15</v>
      </c>
      <c r="H42" s="96">
        <f>-109.42-254.93</f>
        <v>-364.35</v>
      </c>
      <c r="I42" s="97"/>
      <c r="J42" s="96"/>
      <c r="K42" s="97"/>
      <c r="L42" s="96"/>
      <c r="M42" s="96"/>
    </row>
    <row r="43" spans="1:13">
      <c r="A43" s="147" t="s">
        <v>246</v>
      </c>
      <c r="B43" s="96"/>
      <c r="C43" s="97"/>
      <c r="D43" s="96"/>
      <c r="E43" s="96"/>
      <c r="F43" s="96"/>
      <c r="G43" s="242">
        <v>-13.75</v>
      </c>
      <c r="H43" s="96"/>
      <c r="I43" s="97"/>
      <c r="J43" s="96"/>
      <c r="K43" s="97"/>
      <c r="L43" s="96"/>
      <c r="M43" s="96"/>
    </row>
    <row r="44" spans="1:13">
      <c r="A44" s="147" t="s">
        <v>333</v>
      </c>
      <c r="B44" s="96"/>
      <c r="C44" s="97"/>
      <c r="D44" s="96"/>
      <c r="E44" s="96"/>
      <c r="F44" s="96"/>
      <c r="G44" s="242"/>
      <c r="H44" s="96">
        <v>-401</v>
      </c>
      <c r="I44" s="97"/>
      <c r="J44" s="96"/>
      <c r="K44" s="97"/>
      <c r="L44" s="96"/>
      <c r="M44" s="96"/>
    </row>
    <row r="45" spans="1:13">
      <c r="A45" s="147" t="s">
        <v>244</v>
      </c>
      <c r="B45" s="96"/>
      <c r="C45" s="97"/>
      <c r="D45" s="96"/>
      <c r="E45" s="96"/>
      <c r="F45" s="96"/>
      <c r="G45" s="242">
        <v>-188.42</v>
      </c>
      <c r="H45" s="96">
        <v>-87.4</v>
      </c>
      <c r="I45" s="97"/>
      <c r="J45" s="96"/>
      <c r="K45" s="97"/>
      <c r="L45" s="96"/>
      <c r="M45" s="96"/>
    </row>
    <row r="46" spans="1:13">
      <c r="A46" s="147" t="s">
        <v>145</v>
      </c>
      <c r="B46" s="96"/>
      <c r="C46" s="97"/>
      <c r="D46" s="96"/>
      <c r="E46" s="239">
        <v>-600</v>
      </c>
      <c r="F46" s="239">
        <v>-300</v>
      </c>
      <c r="G46" s="242">
        <v>-300</v>
      </c>
      <c r="H46" s="96"/>
      <c r="I46" s="97"/>
      <c r="J46" s="96"/>
      <c r="K46" s="97"/>
      <c r="L46" s="96"/>
      <c r="M46" s="96"/>
    </row>
    <row r="47" spans="1:13">
      <c r="A47" s="155" t="s">
        <v>57</v>
      </c>
      <c r="B47" s="124"/>
      <c r="C47" s="156"/>
      <c r="D47" s="240">
        <f>-34-19</f>
        <v>-53</v>
      </c>
      <c r="E47" s="240">
        <f>-30-34-34-34-55.99</f>
        <v>-187.99</v>
      </c>
      <c r="F47" s="240">
        <v>-91.97</v>
      </c>
      <c r="G47" s="243">
        <f>-30-50</f>
        <v>-80</v>
      </c>
      <c r="H47" s="124">
        <v>-85</v>
      </c>
      <c r="I47" s="156"/>
      <c r="J47" s="124"/>
      <c r="K47" s="156"/>
      <c r="L47" s="124"/>
      <c r="M47" s="124"/>
    </row>
    <row r="48" spans="1:13">
      <c r="A48" s="125" t="s">
        <v>43</v>
      </c>
      <c r="B48" s="126">
        <f t="shared" ref="B48:M48" si="3">B3+B23+B34</f>
        <v>0</v>
      </c>
      <c r="C48" s="126">
        <f t="shared" si="3"/>
        <v>0</v>
      </c>
      <c r="D48" s="126">
        <f t="shared" si="3"/>
        <v>-736.33</v>
      </c>
      <c r="E48" s="126">
        <f t="shared" si="3"/>
        <v>-3026.24</v>
      </c>
      <c r="F48" s="126">
        <f t="shared" si="3"/>
        <v>-3937.04</v>
      </c>
      <c r="G48" s="126">
        <f t="shared" si="3"/>
        <v>-8840.33</v>
      </c>
      <c r="H48" s="126">
        <f t="shared" si="3"/>
        <v>-8236.9000000000015</v>
      </c>
      <c r="I48" s="126">
        <f t="shared" si="3"/>
        <v>-1140</v>
      </c>
      <c r="J48" s="126">
        <f t="shared" si="3"/>
        <v>-1140</v>
      </c>
      <c r="K48" s="126">
        <f t="shared" si="3"/>
        <v>-1140</v>
      </c>
      <c r="L48" s="126">
        <f t="shared" si="3"/>
        <v>-1140</v>
      </c>
      <c r="M48" s="126">
        <f t="shared" si="3"/>
        <v>-1140</v>
      </c>
    </row>
    <row r="50" spans="1:13" ht="21">
      <c r="A50" s="150" t="s">
        <v>146</v>
      </c>
      <c r="B50" s="151">
        <v>44927</v>
      </c>
      <c r="C50" s="151">
        <v>44958</v>
      </c>
      <c r="D50" s="90">
        <v>44986</v>
      </c>
      <c r="E50" s="151">
        <v>45017</v>
      </c>
      <c r="F50" s="90">
        <v>45047</v>
      </c>
      <c r="G50" s="151">
        <v>45078</v>
      </c>
      <c r="H50" s="90">
        <v>45108</v>
      </c>
      <c r="I50" s="151">
        <v>45139</v>
      </c>
      <c r="J50" s="90">
        <v>45170</v>
      </c>
      <c r="K50" s="151">
        <v>45200</v>
      </c>
      <c r="L50" s="90">
        <v>45231</v>
      </c>
      <c r="M50" s="151">
        <v>45261</v>
      </c>
    </row>
    <row r="51" spans="1:13">
      <c r="A51" s="152"/>
      <c r="B51" s="119" t="s">
        <v>76</v>
      </c>
      <c r="C51" s="119" t="s">
        <v>76</v>
      </c>
      <c r="D51" s="119" t="s">
        <v>76</v>
      </c>
      <c r="E51" s="119" t="s">
        <v>76</v>
      </c>
      <c r="F51" s="119" t="s">
        <v>76</v>
      </c>
      <c r="G51" s="119" t="s">
        <v>76</v>
      </c>
      <c r="H51" s="119" t="s">
        <v>76</v>
      </c>
      <c r="I51" s="119" t="s">
        <v>76</v>
      </c>
      <c r="J51" s="119" t="s">
        <v>76</v>
      </c>
      <c r="K51" s="119" t="s">
        <v>76</v>
      </c>
      <c r="L51" s="119" t="s">
        <v>76</v>
      </c>
      <c r="M51" s="119" t="s">
        <v>76</v>
      </c>
    </row>
    <row r="52" spans="1:13">
      <c r="A52" s="125" t="s">
        <v>127</v>
      </c>
      <c r="B52" s="126">
        <f>SUM(B53:B57)</f>
        <v>0</v>
      </c>
      <c r="C52" s="126">
        <f t="shared" ref="C52:M52" si="4">SUM(C53:C57)</f>
        <v>0</v>
      </c>
      <c r="D52" s="126">
        <f t="shared" si="4"/>
        <v>0</v>
      </c>
      <c r="E52" s="126">
        <f t="shared" si="4"/>
        <v>0</v>
      </c>
      <c r="F52" s="126">
        <f t="shared" si="4"/>
        <v>-3040</v>
      </c>
      <c r="G52" s="126">
        <f t="shared" si="4"/>
        <v>-3270.5</v>
      </c>
      <c r="H52" s="126">
        <f t="shared" si="4"/>
        <v>-3267.2</v>
      </c>
      <c r="I52" s="126">
        <f t="shared" si="4"/>
        <v>-3267.2</v>
      </c>
      <c r="J52" s="126">
        <f t="shared" si="4"/>
        <v>-3267.2</v>
      </c>
      <c r="K52" s="126">
        <f t="shared" si="4"/>
        <v>-3267.2</v>
      </c>
      <c r="L52" s="126">
        <f t="shared" si="4"/>
        <v>-3092.4</v>
      </c>
      <c r="M52" s="126">
        <f t="shared" si="4"/>
        <v>-3092.4</v>
      </c>
    </row>
    <row r="53" spans="1:13">
      <c r="A53" s="209" t="s">
        <v>330</v>
      </c>
      <c r="B53" s="111"/>
      <c r="C53" s="111"/>
      <c r="D53" s="96"/>
      <c r="E53" s="111"/>
      <c r="F53" s="111">
        <v>-1520</v>
      </c>
      <c r="G53" s="111">
        <v>-1520</v>
      </c>
      <c r="H53" s="111">
        <v>-1520</v>
      </c>
      <c r="I53" s="111">
        <v>-1520</v>
      </c>
      <c r="J53" s="111">
        <v>-1520</v>
      </c>
      <c r="K53" s="111">
        <v>-1520</v>
      </c>
      <c r="L53" s="111">
        <v>-1520</v>
      </c>
      <c r="M53" s="111">
        <v>-1520</v>
      </c>
    </row>
    <row r="54" spans="1:13">
      <c r="A54" s="147" t="s">
        <v>279</v>
      </c>
      <c r="B54" s="111"/>
      <c r="C54" s="111"/>
      <c r="D54" s="96"/>
      <c r="E54" s="111"/>
      <c r="F54" s="111"/>
      <c r="G54" s="111">
        <v>-174.8</v>
      </c>
      <c r="H54" s="111">
        <v>-174.8</v>
      </c>
      <c r="I54" s="111">
        <v>-174.8</v>
      </c>
      <c r="J54" s="111">
        <v>-174.8</v>
      </c>
      <c r="K54" s="111">
        <v>-174.8</v>
      </c>
      <c r="L54" s="111"/>
      <c r="M54" s="111"/>
    </row>
    <row r="55" spans="1:13">
      <c r="A55" s="147" t="s">
        <v>280</v>
      </c>
      <c r="B55" s="111"/>
      <c r="C55" s="111"/>
      <c r="D55" s="96"/>
      <c r="E55" s="111"/>
      <c r="F55" s="111"/>
      <c r="G55" s="111"/>
      <c r="H55" s="111">
        <v>-52.4</v>
      </c>
      <c r="I55" s="111">
        <v>-52.4</v>
      </c>
      <c r="J55" s="111">
        <v>-52.4</v>
      </c>
      <c r="K55" s="111">
        <v>-52.4</v>
      </c>
      <c r="L55" s="111">
        <v>-52.4</v>
      </c>
      <c r="M55" s="111">
        <v>-52.4</v>
      </c>
    </row>
    <row r="56" spans="1:13">
      <c r="A56" s="147" t="s">
        <v>242</v>
      </c>
      <c r="B56" s="111"/>
      <c r="C56" s="111"/>
      <c r="D56" s="96"/>
      <c r="E56" s="111"/>
      <c r="F56" s="111"/>
      <c r="G56" s="111">
        <v>-55.7</v>
      </c>
      <c r="H56" s="111"/>
      <c r="I56" s="111"/>
      <c r="J56" s="111"/>
      <c r="K56" s="111"/>
      <c r="L56" s="111"/>
      <c r="M56" s="111"/>
    </row>
    <row r="57" spans="1:13">
      <c r="A57" s="209" t="s">
        <v>281</v>
      </c>
      <c r="B57" s="111"/>
      <c r="C57" s="111"/>
      <c r="D57" s="96"/>
      <c r="E57" s="111"/>
      <c r="F57" s="111">
        <v>-1520</v>
      </c>
      <c r="G57" s="111">
        <v>-1520</v>
      </c>
      <c r="H57" s="111">
        <v>-1520</v>
      </c>
      <c r="I57" s="111">
        <v>-1520</v>
      </c>
      <c r="J57" s="111">
        <v>-1520</v>
      </c>
      <c r="K57" s="111">
        <v>-1520</v>
      </c>
      <c r="L57" s="111">
        <v>-1520</v>
      </c>
      <c r="M57" s="111">
        <v>-1520</v>
      </c>
    </row>
    <row r="58" spans="1:13">
      <c r="A58" s="125" t="s">
        <v>138</v>
      </c>
      <c r="B58" s="126">
        <f t="shared" ref="B58:G58" si="5">SUM(B59:B59)</f>
        <v>0</v>
      </c>
      <c r="C58" s="126">
        <f t="shared" si="5"/>
        <v>0</v>
      </c>
      <c r="D58" s="126">
        <f t="shared" si="5"/>
        <v>0</v>
      </c>
      <c r="E58" s="126">
        <f t="shared" si="5"/>
        <v>0</v>
      </c>
      <c r="F58" s="126">
        <f t="shared" si="5"/>
        <v>0</v>
      </c>
      <c r="G58" s="126">
        <f t="shared" si="5"/>
        <v>0</v>
      </c>
      <c r="H58" s="126">
        <f>SUM(H59:H60)</f>
        <v>-2210</v>
      </c>
      <c r="I58" s="126">
        <f t="shared" ref="I58:M58" si="6">SUM(I59:I60)</f>
        <v>-2210</v>
      </c>
      <c r="J58" s="126">
        <f t="shared" si="6"/>
        <v>-2210</v>
      </c>
      <c r="K58" s="126">
        <f t="shared" si="6"/>
        <v>-2210</v>
      </c>
      <c r="L58" s="126">
        <f t="shared" si="6"/>
        <v>-2210</v>
      </c>
      <c r="M58" s="126">
        <f t="shared" si="6"/>
        <v>-2210</v>
      </c>
    </row>
    <row r="59" spans="1:13">
      <c r="A59" s="212" t="s">
        <v>296</v>
      </c>
      <c r="B59" s="96"/>
      <c r="C59" s="96"/>
      <c r="D59" s="96"/>
      <c r="E59" s="96"/>
      <c r="F59" s="96"/>
      <c r="G59" s="96"/>
      <c r="H59" s="244">
        <v>-1550</v>
      </c>
      <c r="I59" s="96">
        <v>-1550</v>
      </c>
      <c r="J59" s="96">
        <v>-1550</v>
      </c>
      <c r="K59" s="96">
        <v>-1550</v>
      </c>
      <c r="L59" s="96">
        <v>-1550</v>
      </c>
      <c r="M59" s="96">
        <v>-1550</v>
      </c>
    </row>
    <row r="60" spans="1:13">
      <c r="A60" s="212" t="s">
        <v>297</v>
      </c>
      <c r="B60" s="96"/>
      <c r="C60" s="96"/>
      <c r="D60" s="96"/>
      <c r="E60" s="96"/>
      <c r="F60" s="96"/>
      <c r="G60" s="96"/>
      <c r="H60" s="244">
        <v>-660</v>
      </c>
      <c r="I60" s="96">
        <v>-660</v>
      </c>
      <c r="J60" s="96">
        <v>-660</v>
      </c>
      <c r="K60" s="96">
        <v>-660</v>
      </c>
      <c r="L60" s="96">
        <v>-660</v>
      </c>
      <c r="M60" s="96">
        <v>-660</v>
      </c>
    </row>
    <row r="61" spans="1:13">
      <c r="A61" s="125" t="s">
        <v>140</v>
      </c>
      <c r="B61" s="126">
        <f t="shared" ref="B61:M61" si="7">SUM(B62:B76)</f>
        <v>0</v>
      </c>
      <c r="C61" s="126">
        <f t="shared" si="7"/>
        <v>-2525.9</v>
      </c>
      <c r="D61" s="126">
        <f t="shared" si="7"/>
        <v>-2525.9</v>
      </c>
      <c r="E61" s="126">
        <f t="shared" si="7"/>
        <v>-4150.7000000000007</v>
      </c>
      <c r="F61" s="126">
        <f t="shared" si="7"/>
        <v>-7743.4400000000005</v>
      </c>
      <c r="G61" s="126">
        <f t="shared" si="7"/>
        <v>-10200.9</v>
      </c>
      <c r="H61" s="126">
        <f t="shared" si="7"/>
        <v>-12682.73</v>
      </c>
      <c r="I61" s="126">
        <f t="shared" si="7"/>
        <v>-12145.23</v>
      </c>
      <c r="J61" s="126">
        <f t="shared" si="7"/>
        <v>-12145.23</v>
      </c>
      <c r="K61" s="126">
        <f t="shared" si="7"/>
        <v>-12145.23</v>
      </c>
      <c r="L61" s="126">
        <f t="shared" si="7"/>
        <v>-12145.23</v>
      </c>
      <c r="M61" s="126">
        <f t="shared" si="7"/>
        <v>-9062.27</v>
      </c>
    </row>
    <row r="62" spans="1:13">
      <c r="A62" s="209" t="s">
        <v>282</v>
      </c>
      <c r="B62" s="157"/>
      <c r="C62" s="158">
        <f t="shared" ref="C62:L62" si="8">-1437</f>
        <v>-1437</v>
      </c>
      <c r="D62" s="159">
        <f t="shared" si="8"/>
        <v>-1437</v>
      </c>
      <c r="E62" s="158">
        <f t="shared" si="8"/>
        <v>-1437</v>
      </c>
      <c r="F62" s="158">
        <f t="shared" si="8"/>
        <v>-1437</v>
      </c>
      <c r="G62" s="160">
        <f t="shared" si="8"/>
        <v>-1437</v>
      </c>
      <c r="H62" s="159">
        <f t="shared" si="8"/>
        <v>-1437</v>
      </c>
      <c r="I62" s="158">
        <f t="shared" si="8"/>
        <v>-1437</v>
      </c>
      <c r="J62" s="159">
        <f t="shared" si="8"/>
        <v>-1437</v>
      </c>
      <c r="K62" s="158">
        <f t="shared" si="8"/>
        <v>-1437</v>
      </c>
      <c r="L62" s="159">
        <f t="shared" si="8"/>
        <v>-1437</v>
      </c>
      <c r="M62" s="158"/>
    </row>
    <row r="63" spans="1:13">
      <c r="A63" s="209" t="s">
        <v>283</v>
      </c>
      <c r="B63" s="157"/>
      <c r="C63" s="161"/>
      <c r="D63" s="159"/>
      <c r="E63" s="161">
        <v>-535.9</v>
      </c>
      <c r="F63" s="161">
        <v>-535.9</v>
      </c>
      <c r="G63" s="153">
        <v>-535.9</v>
      </c>
      <c r="H63" s="159">
        <v>-535.9</v>
      </c>
      <c r="I63" s="161">
        <v>-535.9</v>
      </c>
      <c r="J63" s="159">
        <v>-535.9</v>
      </c>
      <c r="K63" s="161">
        <v>-535.9</v>
      </c>
      <c r="L63" s="159">
        <v>-535.9</v>
      </c>
      <c r="M63" s="161">
        <v>-535.9</v>
      </c>
    </row>
    <row r="64" spans="1:13">
      <c r="A64" s="147" t="s">
        <v>284</v>
      </c>
      <c r="B64" s="157"/>
      <c r="C64" s="161"/>
      <c r="D64" s="159"/>
      <c r="E64" s="161"/>
      <c r="F64" s="161"/>
      <c r="G64" s="153">
        <v>-556.05999999999995</v>
      </c>
      <c r="H64" s="153">
        <v>-556.05999999999995</v>
      </c>
      <c r="I64" s="153">
        <v>-556.05999999999995</v>
      </c>
      <c r="J64" s="153">
        <v>-556.05999999999995</v>
      </c>
      <c r="K64" s="153">
        <v>-556.05999999999995</v>
      </c>
      <c r="L64" s="153">
        <v>-556.05999999999995</v>
      </c>
      <c r="M64" s="153"/>
    </row>
    <row r="65" spans="1:13">
      <c r="A65" s="209" t="s">
        <v>285</v>
      </c>
      <c r="B65" s="157"/>
      <c r="C65" s="161"/>
      <c r="D65" s="159"/>
      <c r="E65" s="161"/>
      <c r="F65" s="161">
        <v>-1481.94</v>
      </c>
      <c r="G65" s="161">
        <v>-1481.94</v>
      </c>
      <c r="H65" s="161">
        <v>-1481.94</v>
      </c>
      <c r="I65" s="161">
        <v>-1481.94</v>
      </c>
      <c r="J65" s="161">
        <v>-1481.94</v>
      </c>
      <c r="K65" s="161">
        <v>-1481.94</v>
      </c>
      <c r="L65" s="161">
        <v>-1481.94</v>
      </c>
      <c r="M65" s="161">
        <v>-1481.94</v>
      </c>
    </row>
    <row r="66" spans="1:13">
      <c r="A66" s="147" t="s">
        <v>286</v>
      </c>
      <c r="B66" s="157"/>
      <c r="C66" s="161"/>
      <c r="D66" s="159"/>
      <c r="E66" s="161"/>
      <c r="F66" s="161">
        <f>-184.55*2</f>
        <v>-369.1</v>
      </c>
      <c r="G66" s="161">
        <f t="shared" ref="G66:M66" si="9">-184.55*2</f>
        <v>-369.1</v>
      </c>
      <c r="H66" s="161">
        <f t="shared" si="9"/>
        <v>-369.1</v>
      </c>
      <c r="I66" s="161">
        <f t="shared" si="9"/>
        <v>-369.1</v>
      </c>
      <c r="J66" s="161">
        <f t="shared" si="9"/>
        <v>-369.1</v>
      </c>
      <c r="K66" s="161">
        <f t="shared" si="9"/>
        <v>-369.1</v>
      </c>
      <c r="L66" s="161">
        <f t="shared" si="9"/>
        <v>-369.1</v>
      </c>
      <c r="M66" s="161">
        <f t="shared" si="9"/>
        <v>-369.1</v>
      </c>
    </row>
    <row r="67" spans="1:13">
      <c r="A67" s="147" t="s">
        <v>287</v>
      </c>
      <c r="B67" s="157"/>
      <c r="C67" s="161"/>
      <c r="D67" s="159"/>
      <c r="E67" s="161"/>
      <c r="F67" s="161">
        <v>-537.5</v>
      </c>
      <c r="G67" s="161">
        <v>-537.5</v>
      </c>
      <c r="H67" s="161">
        <v>-537.5</v>
      </c>
      <c r="I67" s="161"/>
      <c r="J67" s="161"/>
      <c r="K67" s="161"/>
      <c r="L67" s="161"/>
      <c r="M67" s="161"/>
    </row>
    <row r="68" spans="1:13">
      <c r="A68" s="209" t="s">
        <v>288</v>
      </c>
      <c r="B68" s="157"/>
      <c r="C68" s="161"/>
      <c r="D68" s="159"/>
      <c r="E68" s="161"/>
      <c r="F68" s="161"/>
      <c r="G68" s="161"/>
      <c r="H68" s="161">
        <f>-3399/10</f>
        <v>-339.9</v>
      </c>
      <c r="I68" s="161">
        <f t="shared" ref="I68:M68" si="10">-3399/10</f>
        <v>-339.9</v>
      </c>
      <c r="J68" s="161">
        <f t="shared" si="10"/>
        <v>-339.9</v>
      </c>
      <c r="K68" s="161">
        <f t="shared" si="10"/>
        <v>-339.9</v>
      </c>
      <c r="L68" s="161">
        <f t="shared" si="10"/>
        <v>-339.9</v>
      </c>
      <c r="M68" s="161">
        <f t="shared" si="10"/>
        <v>-339.9</v>
      </c>
    </row>
    <row r="69" spans="1:13">
      <c r="A69" s="209" t="s">
        <v>289</v>
      </c>
      <c r="B69" s="157"/>
      <c r="C69" s="161"/>
      <c r="D69" s="159"/>
      <c r="E69" s="161"/>
      <c r="F69" s="161"/>
      <c r="G69" s="161"/>
      <c r="H69" s="161">
        <f>-6460/10</f>
        <v>-646</v>
      </c>
      <c r="I69" s="161">
        <f t="shared" ref="I69:M69" si="11">-6460/10</f>
        <v>-646</v>
      </c>
      <c r="J69" s="161">
        <f t="shared" si="11"/>
        <v>-646</v>
      </c>
      <c r="K69" s="161">
        <f t="shared" si="11"/>
        <v>-646</v>
      </c>
      <c r="L69" s="161">
        <f t="shared" si="11"/>
        <v>-646</v>
      </c>
      <c r="M69" s="161">
        <f t="shared" si="11"/>
        <v>-646</v>
      </c>
    </row>
    <row r="70" spans="1:13">
      <c r="A70" s="209"/>
      <c r="B70" s="157"/>
      <c r="C70" s="161"/>
      <c r="D70" s="159"/>
      <c r="E70" s="161"/>
      <c r="F70" s="161"/>
      <c r="G70" s="161"/>
      <c r="H70" s="161">
        <v>-1495.93</v>
      </c>
      <c r="I70" s="161">
        <v>-1495.93</v>
      </c>
      <c r="J70" s="161">
        <v>-1495.93</v>
      </c>
      <c r="K70" s="161">
        <v>-1495.93</v>
      </c>
      <c r="L70" s="161">
        <v>-1495.93</v>
      </c>
      <c r="M70" s="161">
        <v>-1495.93</v>
      </c>
    </row>
    <row r="71" spans="1:13">
      <c r="A71" s="209" t="s">
        <v>290</v>
      </c>
      <c r="B71" s="157"/>
      <c r="C71" s="161"/>
      <c r="D71" s="159"/>
      <c r="E71" s="161"/>
      <c r="F71" s="161"/>
      <c r="G71" s="161">
        <f>-15500/10</f>
        <v>-1550</v>
      </c>
      <c r="H71" s="161">
        <f t="shared" ref="H71:M71" si="12">-15500/10</f>
        <v>-1550</v>
      </c>
      <c r="I71" s="161">
        <f t="shared" si="12"/>
        <v>-1550</v>
      </c>
      <c r="J71" s="161">
        <f t="shared" si="12"/>
        <v>-1550</v>
      </c>
      <c r="K71" s="161">
        <f t="shared" si="12"/>
        <v>-1550</v>
      </c>
      <c r="L71" s="161">
        <f t="shared" si="12"/>
        <v>-1550</v>
      </c>
      <c r="M71" s="161">
        <f t="shared" si="12"/>
        <v>-1550</v>
      </c>
    </row>
    <row r="72" spans="1:13">
      <c r="A72" s="209" t="s">
        <v>291</v>
      </c>
      <c r="B72" s="157"/>
      <c r="C72" s="161"/>
      <c r="D72" s="159"/>
      <c r="E72" s="161"/>
      <c r="F72" s="161"/>
      <c r="G72" s="161">
        <v>-351.4</v>
      </c>
      <c r="H72" s="161">
        <v>-351.4</v>
      </c>
      <c r="I72" s="161">
        <v>-351.4</v>
      </c>
      <c r="J72" s="161">
        <v>-351.4</v>
      </c>
      <c r="K72" s="161">
        <v>-351.4</v>
      </c>
      <c r="L72" s="161">
        <v>-351.4</v>
      </c>
      <c r="M72" s="161">
        <v>-351.4</v>
      </c>
    </row>
    <row r="73" spans="1:13">
      <c r="A73" s="209" t="s">
        <v>292</v>
      </c>
      <c r="B73" s="157"/>
      <c r="C73" s="161"/>
      <c r="D73" s="159"/>
      <c r="E73" s="161"/>
      <c r="F73" s="161">
        <v>-646</v>
      </c>
      <c r="G73" s="161">
        <v>-646</v>
      </c>
      <c r="H73" s="161">
        <v>-646</v>
      </c>
      <c r="I73" s="161">
        <v>-646</v>
      </c>
      <c r="J73" s="161">
        <v>-646</v>
      </c>
      <c r="K73" s="161">
        <v>-646</v>
      </c>
      <c r="L73" s="161">
        <v>-646</v>
      </c>
      <c r="M73" s="161">
        <v>-646</v>
      </c>
    </row>
    <row r="74" spans="1:13">
      <c r="A74" s="209" t="s">
        <v>293</v>
      </c>
      <c r="B74" s="157"/>
      <c r="C74" s="161"/>
      <c r="D74" s="159"/>
      <c r="E74" s="161"/>
      <c r="F74" s="161">
        <v>-646</v>
      </c>
      <c r="G74" s="161">
        <v>-646</v>
      </c>
      <c r="H74" s="161">
        <v>-646</v>
      </c>
      <c r="I74" s="161">
        <v>-646</v>
      </c>
      <c r="J74" s="161">
        <v>-646</v>
      </c>
      <c r="K74" s="161">
        <v>-646</v>
      </c>
      <c r="L74" s="161">
        <v>-646</v>
      </c>
      <c r="M74" s="161">
        <v>-646</v>
      </c>
    </row>
    <row r="75" spans="1:13">
      <c r="A75" s="209" t="s">
        <v>294</v>
      </c>
      <c r="B75" s="157"/>
      <c r="C75" s="161"/>
      <c r="D75" s="159"/>
      <c r="E75" s="211">
        <v>-1088.9000000000001</v>
      </c>
      <c r="F75" s="161">
        <v>-1000.1</v>
      </c>
      <c r="G75" s="161">
        <v>-1000.1</v>
      </c>
      <c r="H75" s="161">
        <v>-1000.1</v>
      </c>
      <c r="I75" s="161">
        <v>-1000.1</v>
      </c>
      <c r="J75" s="161">
        <v>-1000.1</v>
      </c>
      <c r="K75" s="161">
        <v>-1000.1</v>
      </c>
      <c r="L75" s="161">
        <v>-1000.1</v>
      </c>
      <c r="M75" s="161">
        <v>-1000.1</v>
      </c>
    </row>
    <row r="76" spans="1:13">
      <c r="A76" s="210" t="s">
        <v>295</v>
      </c>
      <c r="B76" s="162"/>
      <c r="C76" s="161">
        <v>-1088.9000000000001</v>
      </c>
      <c r="D76" s="159">
        <v>-1088.9000000000001</v>
      </c>
      <c r="E76" s="163">
        <v>-1088.9000000000001</v>
      </c>
      <c r="F76" s="163">
        <v>-1089.9000000000001</v>
      </c>
      <c r="G76" s="163">
        <v>-1089.9000000000001</v>
      </c>
      <c r="H76" s="163">
        <v>-1089.9000000000001</v>
      </c>
      <c r="I76" s="163">
        <v>-1089.9000000000001</v>
      </c>
      <c r="J76" s="163">
        <v>-1089.9000000000001</v>
      </c>
      <c r="K76" s="163">
        <v>-1089.9000000000001</v>
      </c>
      <c r="L76" s="163">
        <v>-1089.9000000000001</v>
      </c>
      <c r="M76" s="163"/>
    </row>
    <row r="77" spans="1:13">
      <c r="A77" s="125" t="s">
        <v>43</v>
      </c>
      <c r="B77" s="126">
        <f t="shared" ref="B77:M77" si="13">B52+B58+B61</f>
        <v>0</v>
      </c>
      <c r="C77" s="126">
        <f t="shared" si="13"/>
        <v>-2525.9</v>
      </c>
      <c r="D77" s="126">
        <f t="shared" si="13"/>
        <v>-2525.9</v>
      </c>
      <c r="E77" s="126">
        <f t="shared" si="13"/>
        <v>-4150.7000000000007</v>
      </c>
      <c r="F77" s="126">
        <f t="shared" si="13"/>
        <v>-10783.44</v>
      </c>
      <c r="G77" s="126">
        <f t="shared" si="13"/>
        <v>-13471.4</v>
      </c>
      <c r="H77" s="126">
        <f t="shared" si="13"/>
        <v>-18159.93</v>
      </c>
      <c r="I77" s="126">
        <f t="shared" si="13"/>
        <v>-17622.43</v>
      </c>
      <c r="J77" s="126">
        <f t="shared" si="13"/>
        <v>-17622.43</v>
      </c>
      <c r="K77" s="126">
        <f t="shared" si="13"/>
        <v>-17622.43</v>
      </c>
      <c r="L77" s="126">
        <f t="shared" si="13"/>
        <v>-17447.629999999997</v>
      </c>
      <c r="M77" s="126">
        <f t="shared" si="13"/>
        <v>-14364.67</v>
      </c>
    </row>
    <row r="79" spans="1:13">
      <c r="A79" s="125" t="s">
        <v>147</v>
      </c>
      <c r="B79" s="126">
        <f t="shared" ref="B79:M79" si="14">B48+B77</f>
        <v>0</v>
      </c>
      <c r="C79" s="126">
        <f t="shared" si="14"/>
        <v>-2525.9</v>
      </c>
      <c r="D79" s="126">
        <f t="shared" si="14"/>
        <v>-3262.23</v>
      </c>
      <c r="E79" s="126">
        <f t="shared" si="14"/>
        <v>-7176.9400000000005</v>
      </c>
      <c r="F79" s="126">
        <f t="shared" si="14"/>
        <v>-14720.48</v>
      </c>
      <c r="G79" s="126">
        <f t="shared" si="14"/>
        <v>-22311.73</v>
      </c>
      <c r="H79" s="126">
        <f t="shared" si="14"/>
        <v>-26396.83</v>
      </c>
      <c r="I79" s="126">
        <f t="shared" si="14"/>
        <v>-18762.43</v>
      </c>
      <c r="J79" s="126">
        <f t="shared" si="14"/>
        <v>-18762.43</v>
      </c>
      <c r="K79" s="126">
        <f t="shared" si="14"/>
        <v>-18762.43</v>
      </c>
      <c r="L79" s="126">
        <f t="shared" si="14"/>
        <v>-18587.629999999997</v>
      </c>
      <c r="M79" s="126">
        <f t="shared" si="14"/>
        <v>-15504.67</v>
      </c>
    </row>
    <row r="81" spans="4:4">
      <c r="D81" s="1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BCC-88D5-9547-A5D4-D833CFB0EA19}">
  <dimension ref="A1:D18"/>
  <sheetViews>
    <sheetView workbookViewId="0">
      <selection sqref="A1:D18"/>
    </sheetView>
  </sheetViews>
  <sheetFormatPr defaultColWidth="11" defaultRowHeight="15.75"/>
  <cols>
    <col min="3" max="3" width="19.875" customWidth="1"/>
    <col min="4" max="4" width="20.5" customWidth="1"/>
  </cols>
  <sheetData>
    <row r="1" spans="1:4">
      <c r="A1" t="s">
        <v>154</v>
      </c>
      <c r="B1" t="s">
        <v>155</v>
      </c>
      <c r="C1" t="s">
        <v>156</v>
      </c>
      <c r="D1" t="s">
        <v>157</v>
      </c>
    </row>
    <row r="2" spans="1:4">
      <c r="A2" t="s">
        <v>243</v>
      </c>
      <c r="B2">
        <v>-2100</v>
      </c>
      <c r="C2" s="4">
        <v>45127</v>
      </c>
      <c r="D2" s="4">
        <v>45078</v>
      </c>
    </row>
    <row r="3" spans="1:4">
      <c r="A3" t="s">
        <v>252</v>
      </c>
      <c r="C3" s="4">
        <v>45127</v>
      </c>
      <c r="D3" s="4">
        <v>45078</v>
      </c>
    </row>
    <row r="4" spans="1:4">
      <c r="A4" t="s">
        <v>166</v>
      </c>
      <c r="B4">
        <v>-90</v>
      </c>
      <c r="C4" s="4">
        <v>45127</v>
      </c>
      <c r="D4" s="4">
        <v>45078</v>
      </c>
    </row>
    <row r="5" spans="1:4">
      <c r="A5" t="s">
        <v>180</v>
      </c>
      <c r="B5">
        <v>-450</v>
      </c>
      <c r="C5" s="4">
        <v>45127</v>
      </c>
      <c r="D5" s="4">
        <v>45078</v>
      </c>
    </row>
    <row r="6" spans="1:4">
      <c r="A6" t="s">
        <v>179</v>
      </c>
      <c r="B6">
        <v>-450</v>
      </c>
      <c r="C6" s="4">
        <v>45127</v>
      </c>
      <c r="D6" s="4">
        <v>45078</v>
      </c>
    </row>
    <row r="7" spans="1:4">
      <c r="A7" t="s">
        <v>220</v>
      </c>
      <c r="B7">
        <v>-400</v>
      </c>
      <c r="C7" s="4">
        <v>45127</v>
      </c>
      <c r="D7" s="4">
        <v>45078</v>
      </c>
    </row>
    <row r="8" spans="1:4">
      <c r="A8" t="s">
        <v>163</v>
      </c>
      <c r="B8">
        <v>30281.21</v>
      </c>
      <c r="C8" s="4">
        <v>45127</v>
      </c>
      <c r="D8" s="4">
        <v>45078</v>
      </c>
    </row>
    <row r="9" spans="1:4">
      <c r="A9" t="s">
        <v>176</v>
      </c>
      <c r="B9">
        <v>-7905.97</v>
      </c>
      <c r="C9" s="4">
        <v>45127</v>
      </c>
      <c r="D9" s="4">
        <v>45078</v>
      </c>
    </row>
    <row r="10" spans="1:4">
      <c r="A10" t="s">
        <v>165</v>
      </c>
      <c r="B10">
        <v>-150</v>
      </c>
      <c r="C10" s="4">
        <v>45127</v>
      </c>
      <c r="D10" s="4">
        <v>45078</v>
      </c>
    </row>
    <row r="11" spans="1:4">
      <c r="A11" t="s">
        <v>178</v>
      </c>
      <c r="B11">
        <v>-150</v>
      </c>
      <c r="C11" s="4">
        <v>45127</v>
      </c>
      <c r="D11" s="4">
        <v>45078</v>
      </c>
    </row>
    <row r="12" spans="1:4">
      <c r="A12" t="s">
        <v>177</v>
      </c>
      <c r="B12">
        <v>-150</v>
      </c>
      <c r="C12" s="4">
        <v>45127</v>
      </c>
      <c r="D12" s="4">
        <v>45078</v>
      </c>
    </row>
    <row r="13" spans="1:4">
      <c r="A13" t="s">
        <v>277</v>
      </c>
      <c r="B13" t="s">
        <v>311</v>
      </c>
      <c r="C13" s="4">
        <v>45127</v>
      </c>
      <c r="D13" s="4">
        <v>45078</v>
      </c>
    </row>
    <row r="14" spans="1:4">
      <c r="A14" t="s">
        <v>278</v>
      </c>
      <c r="B14">
        <v>-600</v>
      </c>
      <c r="C14" s="4">
        <v>45127</v>
      </c>
      <c r="D14" s="4">
        <v>45078</v>
      </c>
    </row>
    <row r="15" spans="1:4">
      <c r="A15" t="s">
        <v>172</v>
      </c>
      <c r="B15">
        <v>-16000</v>
      </c>
      <c r="C15" s="4">
        <v>45127</v>
      </c>
      <c r="D15" s="4">
        <v>45078</v>
      </c>
    </row>
    <row r="16" spans="1:4">
      <c r="A16" t="s">
        <v>267</v>
      </c>
      <c r="B16">
        <v>-16000</v>
      </c>
      <c r="C16" s="4">
        <v>45127</v>
      </c>
      <c r="D16" s="4">
        <v>45078</v>
      </c>
    </row>
    <row r="17" spans="1:4">
      <c r="A17" t="s">
        <v>266</v>
      </c>
      <c r="B17">
        <v>-16000</v>
      </c>
      <c r="C17" s="4">
        <v>45127</v>
      </c>
      <c r="D17" s="4">
        <v>45078</v>
      </c>
    </row>
    <row r="18" spans="1:4">
      <c r="A18" t="s">
        <v>237</v>
      </c>
      <c r="C18" s="4">
        <v>45127</v>
      </c>
      <c r="D18" s="4">
        <v>45078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BAA6-D5C6-CA4F-ABB7-5744CA138CC0}">
  <dimension ref="A3:AC83"/>
  <sheetViews>
    <sheetView zoomScaleNormal="100" workbookViewId="0">
      <selection activeCell="U5" sqref="U5"/>
    </sheetView>
  </sheetViews>
  <sheetFormatPr defaultColWidth="11" defaultRowHeight="15.75"/>
  <cols>
    <col min="1" max="1" width="27.25" bestFit="1" customWidth="1"/>
    <col min="2" max="2" width="15.5" hidden="1" customWidth="1"/>
    <col min="3" max="3" width="10.375" hidden="1" customWidth="1"/>
    <col min="4" max="4" width="13" hidden="1" customWidth="1"/>
    <col min="5" max="5" width="9.125" hidden="1" customWidth="1"/>
    <col min="6" max="6" width="12" hidden="1" customWidth="1"/>
    <col min="7" max="7" width="13" hidden="1" customWidth="1"/>
    <col min="8" max="8" width="12" hidden="1" customWidth="1"/>
    <col min="9" max="10" width="13" hidden="1" customWidth="1"/>
    <col min="11" max="11" width="12" hidden="1" customWidth="1"/>
    <col min="12" max="14" width="13" hidden="1" customWidth="1"/>
    <col min="15" max="15" width="12" hidden="1" customWidth="1"/>
    <col min="16" max="16" width="7" hidden="1" customWidth="1"/>
    <col min="17" max="17" width="12" hidden="1" customWidth="1"/>
    <col min="18" max="18" width="10.375" hidden="1" customWidth="1"/>
    <col min="19" max="19" width="13.25" bestFit="1" customWidth="1"/>
    <col min="20" max="20" width="11.125" bestFit="1" customWidth="1"/>
    <col min="21" max="21" width="12.125" bestFit="1" customWidth="1"/>
    <col min="22" max="22" width="11.125" bestFit="1" customWidth="1"/>
    <col min="23" max="23" width="12.125" bestFit="1" customWidth="1"/>
    <col min="24" max="24" width="11.125" bestFit="1" customWidth="1"/>
    <col min="25" max="25" width="13.25" bestFit="1" customWidth="1"/>
    <col min="26" max="26" width="14.375" bestFit="1" customWidth="1"/>
    <col min="27" max="28" width="14.125" bestFit="1" customWidth="1"/>
    <col min="29" max="29" width="13.375" bestFit="1" customWidth="1"/>
  </cols>
  <sheetData>
    <row r="3" spans="1:26">
      <c r="A3" s="171" t="s">
        <v>184</v>
      </c>
      <c r="B3" s="171" t="s">
        <v>336</v>
      </c>
    </row>
    <row r="4" spans="1:26">
      <c r="A4" s="171" t="s">
        <v>337</v>
      </c>
      <c r="B4" s="4">
        <v>44990</v>
      </c>
      <c r="C4" s="4">
        <v>45005</v>
      </c>
      <c r="D4" s="4">
        <v>44998</v>
      </c>
      <c r="E4" s="4">
        <v>45000</v>
      </c>
      <c r="F4" s="4">
        <v>44993</v>
      </c>
      <c r="G4" s="4">
        <v>45021</v>
      </c>
      <c r="H4" s="4">
        <v>45017</v>
      </c>
      <c r="I4" s="4">
        <v>45036</v>
      </c>
      <c r="J4" s="4">
        <v>45051</v>
      </c>
      <c r="K4" s="4">
        <v>45068</v>
      </c>
      <c r="L4" s="4">
        <v>45065</v>
      </c>
      <c r="M4" s="4">
        <v>45082</v>
      </c>
      <c r="N4" s="4">
        <v>45097</v>
      </c>
      <c r="O4" s="4">
        <v>45078</v>
      </c>
      <c r="P4" s="4" t="s">
        <v>338</v>
      </c>
      <c r="Q4" s="4">
        <v>45085</v>
      </c>
      <c r="R4" s="4">
        <v>45098</v>
      </c>
      <c r="S4" s="4">
        <v>45112</v>
      </c>
      <c r="T4" s="4">
        <v>45110</v>
      </c>
      <c r="U4" s="4">
        <v>45127</v>
      </c>
      <c r="V4" s="4">
        <v>45130</v>
      </c>
      <c r="W4" s="4">
        <v>45117</v>
      </c>
      <c r="X4" s="4">
        <v>45113</v>
      </c>
      <c r="Y4" s="4" t="s">
        <v>339</v>
      </c>
    </row>
    <row r="5" spans="1:26">
      <c r="A5" s="172" t="s">
        <v>345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236">
        <v>-3000</v>
      </c>
      <c r="V5" s="182"/>
      <c r="W5" s="182"/>
      <c r="X5" s="182"/>
      <c r="Y5" s="182">
        <v>-3000</v>
      </c>
    </row>
    <row r="6" spans="1:26">
      <c r="A6" s="172" t="s">
        <v>226</v>
      </c>
      <c r="B6" s="182"/>
      <c r="C6" s="182"/>
      <c r="D6" s="182"/>
      <c r="E6" s="182"/>
      <c r="F6" s="182"/>
      <c r="G6" s="182"/>
      <c r="H6" s="182"/>
      <c r="I6" s="182"/>
      <c r="J6" s="182"/>
      <c r="K6" s="182">
        <v>-381</v>
      </c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>
        <v>-381</v>
      </c>
    </row>
    <row r="7" spans="1:26">
      <c r="A7" s="172" t="s">
        <v>243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206">
        <v>-2100</v>
      </c>
      <c r="O7" s="182"/>
      <c r="P7" s="182"/>
      <c r="Q7" s="182"/>
      <c r="R7" s="182"/>
      <c r="S7" s="182"/>
      <c r="T7" s="182"/>
      <c r="U7" s="236">
        <v>-2100</v>
      </c>
      <c r="V7" s="182"/>
      <c r="W7" s="182"/>
      <c r="X7" s="182"/>
      <c r="Y7" s="182">
        <v>-4200</v>
      </c>
    </row>
    <row r="8" spans="1:26">
      <c r="A8" s="172" t="s">
        <v>74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>
        <v>0</v>
      </c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>
        <v>0</v>
      </c>
    </row>
    <row r="9" spans="1:26">
      <c r="A9" s="172" t="s">
        <v>305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236">
        <v>-5714.29</v>
      </c>
      <c r="T9" s="182"/>
      <c r="U9" s="182"/>
      <c r="V9" s="182"/>
      <c r="W9" s="182"/>
      <c r="X9" s="182"/>
      <c r="Y9" s="182">
        <v>-5714.29</v>
      </c>
    </row>
    <row r="10" spans="1:26">
      <c r="A10" s="172" t="s">
        <v>233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236">
        <v>-8850</v>
      </c>
      <c r="T10" s="182"/>
      <c r="U10" s="182"/>
      <c r="V10" s="182"/>
      <c r="W10" s="182"/>
      <c r="X10" s="182"/>
      <c r="Y10" s="182">
        <v>-8850</v>
      </c>
    </row>
    <row r="11" spans="1:26">
      <c r="A11" s="172" t="s">
        <v>253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236">
        <v>-7857.1428571428596</v>
      </c>
      <c r="T11" s="182"/>
      <c r="U11" s="182"/>
      <c r="V11" s="182"/>
      <c r="W11" s="182"/>
      <c r="X11" s="182"/>
      <c r="Y11" s="182">
        <v>-7857.1428571428596</v>
      </c>
    </row>
    <row r="12" spans="1:26">
      <c r="A12" s="172" t="s">
        <v>159</v>
      </c>
      <c r="B12" s="182">
        <v>-10000</v>
      </c>
      <c r="C12" s="182"/>
      <c r="D12" s="182"/>
      <c r="E12" s="182"/>
      <c r="F12" s="182"/>
      <c r="G12" s="182">
        <v>-10000</v>
      </c>
      <c r="H12" s="182"/>
      <c r="I12" s="182"/>
      <c r="J12" s="182">
        <v>-10000</v>
      </c>
      <c r="K12" s="182"/>
      <c r="L12" s="182"/>
      <c r="M12" s="206">
        <v>-10000</v>
      </c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>
        <v>-40000</v>
      </c>
    </row>
    <row r="13" spans="1:26">
      <c r="A13" s="172" t="s">
        <v>256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206">
        <v>-780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>
        <v>-780</v>
      </c>
    </row>
    <row r="14" spans="1:26">
      <c r="A14" s="172" t="s">
        <v>8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236">
        <v>-10000</v>
      </c>
      <c r="T14" s="182"/>
      <c r="U14" s="182"/>
      <c r="V14" s="182"/>
      <c r="W14" s="182"/>
      <c r="X14" s="182"/>
      <c r="Y14" s="182">
        <v>-10000</v>
      </c>
    </row>
    <row r="15" spans="1:26">
      <c r="A15" s="172" t="s">
        <v>252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206">
        <v>-1700</v>
      </c>
      <c r="P15" s="182"/>
      <c r="Q15" s="182"/>
      <c r="R15" s="182"/>
      <c r="S15" s="182"/>
      <c r="T15" s="182"/>
      <c r="U15" s="182"/>
      <c r="V15" s="182"/>
      <c r="W15" s="182"/>
      <c r="X15" s="182"/>
      <c r="Y15" s="182">
        <v>-1700</v>
      </c>
      <c r="Z15" s="5"/>
    </row>
    <row r="16" spans="1:26">
      <c r="A16" s="172" t="s">
        <v>18</v>
      </c>
      <c r="B16" s="182"/>
      <c r="C16" s="182"/>
      <c r="D16" s="182"/>
      <c r="E16" s="182"/>
      <c r="F16" s="182"/>
      <c r="G16" s="182"/>
      <c r="H16" s="182"/>
      <c r="I16" s="182"/>
      <c r="J16" s="182">
        <v>-3000</v>
      </c>
      <c r="K16" s="182"/>
      <c r="L16" s="182"/>
      <c r="M16" s="206">
        <v>-3000</v>
      </c>
      <c r="N16" s="182"/>
      <c r="O16" s="182"/>
      <c r="P16" s="182"/>
      <c r="Q16" s="182"/>
      <c r="R16" s="182"/>
      <c r="S16" s="236">
        <v>-3000</v>
      </c>
      <c r="T16" s="182"/>
      <c r="U16" s="182"/>
      <c r="V16" s="182"/>
      <c r="W16" s="182"/>
      <c r="X16" s="182"/>
      <c r="Y16" s="182">
        <v>-9000</v>
      </c>
      <c r="Z16" s="6"/>
    </row>
    <row r="17" spans="1:29">
      <c r="A17" s="172" t="s">
        <v>25</v>
      </c>
      <c r="B17" s="182">
        <v>-220</v>
      </c>
      <c r="C17" s="182"/>
      <c r="D17" s="182"/>
      <c r="E17" s="182"/>
      <c r="F17" s="182"/>
      <c r="G17" s="182">
        <v>-1036</v>
      </c>
      <c r="H17" s="182"/>
      <c r="I17" s="182"/>
      <c r="J17" s="182">
        <v>-13000</v>
      </c>
      <c r="K17" s="182"/>
      <c r="L17" s="182"/>
      <c r="M17" s="206">
        <v>-13000</v>
      </c>
      <c r="N17" s="182"/>
      <c r="O17" s="182"/>
      <c r="P17" s="182"/>
      <c r="Q17" s="182"/>
      <c r="R17" s="182"/>
      <c r="S17" s="236">
        <v>-13000</v>
      </c>
      <c r="T17" s="182"/>
      <c r="U17" s="182"/>
      <c r="V17" s="182"/>
      <c r="W17" s="182"/>
      <c r="X17" s="182"/>
      <c r="Y17" s="182">
        <v>-40256</v>
      </c>
    </row>
    <row r="18" spans="1:29">
      <c r="A18" s="172" t="s">
        <v>225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>
        <v>-1184</v>
      </c>
      <c r="L18" s="182"/>
      <c r="M18" s="182"/>
      <c r="N18" s="206">
        <v>-378</v>
      </c>
      <c r="O18" s="182"/>
      <c r="P18" s="182"/>
      <c r="Q18" s="182"/>
      <c r="R18" s="182"/>
      <c r="S18" s="182"/>
      <c r="T18" s="182"/>
      <c r="U18" s="236">
        <v>-288</v>
      </c>
      <c r="V18" s="182"/>
      <c r="W18" s="182"/>
      <c r="X18" s="182"/>
      <c r="Y18" s="182">
        <v>-1850</v>
      </c>
    </row>
    <row r="19" spans="1:29">
      <c r="A19" s="172" t="s">
        <v>166</v>
      </c>
      <c r="B19" s="182"/>
      <c r="C19" s="182"/>
      <c r="D19" s="182"/>
      <c r="E19" s="182">
        <v>-88.98</v>
      </c>
      <c r="F19" s="182"/>
      <c r="G19" s="182"/>
      <c r="H19" s="182"/>
      <c r="I19" s="182">
        <v>-88.98</v>
      </c>
      <c r="J19" s="182"/>
      <c r="K19" s="182"/>
      <c r="L19" s="182">
        <v>-90</v>
      </c>
      <c r="M19" s="182"/>
      <c r="N19" s="206">
        <v>-90</v>
      </c>
      <c r="O19" s="182"/>
      <c r="P19" s="182"/>
      <c r="Q19" s="182"/>
      <c r="R19" s="182"/>
      <c r="S19" s="182"/>
      <c r="T19" s="182"/>
      <c r="U19" s="236">
        <v>-90</v>
      </c>
      <c r="V19" s="182"/>
      <c r="W19" s="182"/>
      <c r="X19" s="182"/>
      <c r="Y19" s="182">
        <v>-447.96000000000004</v>
      </c>
    </row>
    <row r="20" spans="1:29">
      <c r="A20" s="172" t="s">
        <v>302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>
        <v>0</v>
      </c>
      <c r="T20" s="182"/>
      <c r="U20" s="182"/>
      <c r="V20" s="182"/>
      <c r="W20" s="182"/>
      <c r="X20" s="182"/>
      <c r="Y20" s="182">
        <v>0</v>
      </c>
      <c r="Z20" s="5"/>
      <c r="AA20" s="5"/>
      <c r="AB20" s="205"/>
    </row>
    <row r="21" spans="1:29">
      <c r="A21" s="172" t="s">
        <v>167</v>
      </c>
      <c r="B21" s="182"/>
      <c r="C21" s="182"/>
      <c r="D21" s="182"/>
      <c r="E21" s="182"/>
      <c r="F21" s="182">
        <v>-1104.3900000000001</v>
      </c>
      <c r="G21" s="182">
        <v>-779.83</v>
      </c>
      <c r="H21" s="182"/>
      <c r="I21" s="182"/>
      <c r="J21" s="182">
        <v>-3106.48</v>
      </c>
      <c r="K21" s="182"/>
      <c r="L21" s="182"/>
      <c r="M21" s="182"/>
      <c r="N21" s="182"/>
      <c r="O21" s="182"/>
      <c r="P21" s="182"/>
      <c r="Q21" s="206">
        <v>-4688.05</v>
      </c>
      <c r="R21" s="182"/>
      <c r="S21" s="182"/>
      <c r="T21" s="182"/>
      <c r="U21" s="182"/>
      <c r="V21" s="182">
        <v>-2127.27</v>
      </c>
      <c r="W21" s="182"/>
      <c r="X21" s="182"/>
      <c r="Y21" s="182">
        <v>-11806.02</v>
      </c>
      <c r="Z21" s="6"/>
    </row>
    <row r="22" spans="1:29">
      <c r="A22" s="172" t="s">
        <v>181</v>
      </c>
      <c r="B22" s="182"/>
      <c r="C22" s="182"/>
      <c r="D22" s="182"/>
      <c r="E22" s="182"/>
      <c r="F22" s="182"/>
      <c r="G22" s="182">
        <v>-68</v>
      </c>
      <c r="H22" s="182"/>
      <c r="I22" s="182"/>
      <c r="J22" s="182">
        <v>-59.5</v>
      </c>
      <c r="K22" s="182"/>
      <c r="L22" s="182"/>
      <c r="M22" s="206">
        <v>-90</v>
      </c>
      <c r="N22" s="182"/>
      <c r="O22" s="182"/>
      <c r="P22" s="182"/>
      <c r="Q22" s="182"/>
      <c r="R22" s="182"/>
      <c r="S22" s="182"/>
      <c r="T22" s="236">
        <v>-39</v>
      </c>
      <c r="U22" s="182"/>
      <c r="V22" s="182"/>
      <c r="W22" s="182"/>
      <c r="X22" s="182"/>
      <c r="Y22" s="182">
        <v>-256.5</v>
      </c>
      <c r="Z22" s="6"/>
      <c r="AA22" s="6"/>
    </row>
    <row r="23" spans="1:29">
      <c r="A23" s="172" t="s">
        <v>221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>
        <v>-400</v>
      </c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>
        <v>-400</v>
      </c>
    </row>
    <row r="24" spans="1:29">
      <c r="A24" s="172" t="s">
        <v>222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>
        <v>-500</v>
      </c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>
        <v>-500</v>
      </c>
      <c r="Z24" s="6"/>
    </row>
    <row r="25" spans="1:29">
      <c r="A25" s="172" t="s">
        <v>116</v>
      </c>
      <c r="B25" s="182"/>
      <c r="C25" s="182"/>
      <c r="D25" s="182">
        <v>-240</v>
      </c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>
        <v>-240</v>
      </c>
      <c r="AA25" s="6"/>
      <c r="AC25" s="245"/>
    </row>
    <row r="26" spans="1:29">
      <c r="A26" s="172" t="s">
        <v>180</v>
      </c>
      <c r="B26" s="182"/>
      <c r="C26" s="182"/>
      <c r="D26" s="182"/>
      <c r="E26" s="182"/>
      <c r="F26" s="182"/>
      <c r="G26" s="182"/>
      <c r="H26" s="182"/>
      <c r="I26" s="182">
        <v>-450</v>
      </c>
      <c r="J26" s="182"/>
      <c r="K26" s="182"/>
      <c r="L26" s="182">
        <v>-450</v>
      </c>
      <c r="M26" s="182"/>
      <c r="N26" s="206">
        <v>-450</v>
      </c>
      <c r="O26" s="182"/>
      <c r="P26" s="182"/>
      <c r="Q26" s="182"/>
      <c r="R26" s="182"/>
      <c r="S26" s="182"/>
      <c r="T26" s="182"/>
      <c r="U26" s="236">
        <v>-450</v>
      </c>
      <c r="V26" s="182"/>
      <c r="W26" s="182"/>
      <c r="X26" s="182"/>
      <c r="Y26" s="182">
        <v>-1800</v>
      </c>
      <c r="Z26" s="6"/>
    </row>
    <row r="27" spans="1:29">
      <c r="A27" s="172" t="s">
        <v>179</v>
      </c>
      <c r="B27" s="182"/>
      <c r="C27" s="182"/>
      <c r="D27" s="182"/>
      <c r="E27" s="182"/>
      <c r="F27" s="182"/>
      <c r="G27" s="182"/>
      <c r="H27" s="182"/>
      <c r="I27" s="182">
        <v>-450</v>
      </c>
      <c r="J27" s="182"/>
      <c r="K27" s="182"/>
      <c r="L27" s="182">
        <v>-450</v>
      </c>
      <c r="M27" s="182"/>
      <c r="N27" s="206">
        <v>-450</v>
      </c>
      <c r="O27" s="182"/>
      <c r="P27" s="182"/>
      <c r="Q27" s="182"/>
      <c r="R27" s="182"/>
      <c r="S27" s="182"/>
      <c r="T27" s="182"/>
      <c r="U27" s="236">
        <v>-450</v>
      </c>
      <c r="V27" s="182"/>
      <c r="W27" s="182"/>
      <c r="X27" s="182"/>
      <c r="Y27" s="182">
        <v>-1800</v>
      </c>
      <c r="AB27" s="5"/>
      <c r="AC27" s="6"/>
    </row>
    <row r="28" spans="1:29">
      <c r="A28" s="172" t="s">
        <v>331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236">
        <v>-1500</v>
      </c>
      <c r="T28" s="182"/>
      <c r="U28" s="182"/>
      <c r="V28" s="182"/>
      <c r="W28" s="182"/>
      <c r="X28" s="182"/>
      <c r="Y28" s="182">
        <v>-1500</v>
      </c>
      <c r="Z28" s="6"/>
      <c r="AB28" s="5"/>
      <c r="AC28" s="6"/>
    </row>
    <row r="29" spans="1:29">
      <c r="A29" s="172" t="s">
        <v>304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>
        <v>0</v>
      </c>
      <c r="T29" s="182"/>
      <c r="U29" s="182"/>
      <c r="V29" s="182"/>
      <c r="W29" s="182"/>
      <c r="X29" s="182"/>
      <c r="Y29" s="182">
        <v>0</v>
      </c>
    </row>
    <row r="30" spans="1:29">
      <c r="A30" s="172" t="s">
        <v>236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236">
        <v>-1200</v>
      </c>
      <c r="T30" s="182"/>
      <c r="U30" s="182"/>
      <c r="V30" s="182"/>
      <c r="W30" s="182"/>
      <c r="X30" s="182"/>
      <c r="Y30" s="182">
        <v>-1200</v>
      </c>
      <c r="AC30" s="246"/>
    </row>
    <row r="31" spans="1:29">
      <c r="A31" s="172" t="s">
        <v>240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206">
        <v>-343</v>
      </c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>
        <v>-343</v>
      </c>
    </row>
    <row r="32" spans="1:29">
      <c r="A32" s="172" t="s">
        <v>343</v>
      </c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236">
        <v>-960.63</v>
      </c>
      <c r="V32" s="182"/>
      <c r="W32" s="182"/>
      <c r="X32" s="182"/>
      <c r="Y32" s="182">
        <v>-960.63</v>
      </c>
      <c r="AB32" s="5"/>
    </row>
    <row r="33" spans="1:28">
      <c r="A33" s="172" t="s">
        <v>24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236">
        <v>-9000</v>
      </c>
      <c r="T33" s="182"/>
      <c r="U33" s="182"/>
      <c r="V33" s="182"/>
      <c r="W33" s="182"/>
      <c r="X33" s="182"/>
      <c r="Y33" s="182">
        <v>-9000</v>
      </c>
    </row>
    <row r="34" spans="1:28">
      <c r="A34" s="172" t="s">
        <v>227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236">
        <v>-6500</v>
      </c>
      <c r="T34" s="182"/>
      <c r="U34" s="182"/>
      <c r="V34" s="182"/>
      <c r="W34" s="182"/>
      <c r="X34" s="182"/>
      <c r="Y34" s="182">
        <v>-6500</v>
      </c>
    </row>
    <row r="35" spans="1:28">
      <c r="A35" s="172" t="s">
        <v>235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206">
        <v>-6500</v>
      </c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>
        <v>-6500</v>
      </c>
      <c r="AB35" s="7"/>
    </row>
    <row r="36" spans="1:28">
      <c r="A36" s="172" t="s">
        <v>190</v>
      </c>
      <c r="B36" s="182"/>
      <c r="C36" s="182"/>
      <c r="D36" s="182"/>
      <c r="E36" s="182"/>
      <c r="F36" s="182"/>
      <c r="G36" s="182"/>
      <c r="H36" s="182"/>
      <c r="I36" s="182"/>
      <c r="J36" s="182">
        <v>-9500</v>
      </c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>
        <v>-9500</v>
      </c>
    </row>
    <row r="37" spans="1:28">
      <c r="A37" s="172" t="s">
        <v>175</v>
      </c>
      <c r="B37" s="182"/>
      <c r="C37" s="182"/>
      <c r="D37" s="182"/>
      <c r="E37" s="182"/>
      <c r="F37" s="182"/>
      <c r="G37" s="182"/>
      <c r="H37" s="182">
        <v>-1500</v>
      </c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>
        <v>-1500</v>
      </c>
    </row>
    <row r="38" spans="1:28">
      <c r="A38" s="172" t="s">
        <v>220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>
        <v>-400</v>
      </c>
      <c r="M38" s="182"/>
      <c r="N38" s="206">
        <v>-400</v>
      </c>
      <c r="O38" s="182"/>
      <c r="P38" s="182"/>
      <c r="Q38" s="182"/>
      <c r="R38" s="182"/>
      <c r="S38" s="182"/>
      <c r="T38" s="182"/>
      <c r="U38" s="236">
        <v>-400</v>
      </c>
      <c r="V38" s="182"/>
      <c r="W38" s="182"/>
      <c r="X38" s="182"/>
      <c r="Y38" s="182">
        <v>-1200</v>
      </c>
    </row>
    <row r="39" spans="1:28">
      <c r="A39" s="172" t="s">
        <v>21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206">
        <v>-9500</v>
      </c>
      <c r="N39" s="182"/>
      <c r="O39" s="182"/>
      <c r="P39" s="182"/>
      <c r="Q39" s="182"/>
      <c r="R39" s="182"/>
      <c r="S39" s="236">
        <v>-9500</v>
      </c>
      <c r="T39" s="182"/>
      <c r="U39" s="182"/>
      <c r="V39" s="182"/>
      <c r="W39" s="182"/>
      <c r="X39" s="182"/>
      <c r="Y39" s="182">
        <v>-19000</v>
      </c>
    </row>
    <row r="40" spans="1:28">
      <c r="A40" s="172" t="s">
        <v>163</v>
      </c>
      <c r="B40" s="182"/>
      <c r="C40" s="182">
        <v>-649.20000000000005</v>
      </c>
      <c r="D40" s="182"/>
      <c r="E40" s="182"/>
      <c r="F40" s="182"/>
      <c r="G40" s="182"/>
      <c r="H40" s="182"/>
      <c r="I40" s="182">
        <v>-428.4</v>
      </c>
      <c r="J40" s="182"/>
      <c r="K40" s="182"/>
      <c r="L40" s="182">
        <v>-208.80000000000018</v>
      </c>
      <c r="M40" s="182"/>
      <c r="N40" s="206">
        <v>10375.68</v>
      </c>
      <c r="O40" s="182"/>
      <c r="P40" s="182"/>
      <c r="Q40" s="182"/>
      <c r="R40" s="182"/>
      <c r="S40" s="182"/>
      <c r="T40" s="182"/>
      <c r="U40" s="236">
        <v>-30281.21</v>
      </c>
      <c r="V40" s="182"/>
      <c r="W40" s="182"/>
      <c r="X40" s="182"/>
      <c r="Y40" s="182">
        <v>-21191.93</v>
      </c>
    </row>
    <row r="41" spans="1:28">
      <c r="A41" s="172" t="s">
        <v>176</v>
      </c>
      <c r="B41" s="182"/>
      <c r="C41" s="182"/>
      <c r="D41" s="182"/>
      <c r="E41" s="182"/>
      <c r="F41" s="182"/>
      <c r="G41" s="182"/>
      <c r="H41" s="182"/>
      <c r="I41" s="182">
        <v>-2386.56</v>
      </c>
      <c r="J41" s="182"/>
      <c r="K41" s="182"/>
      <c r="L41" s="182">
        <v>-2976.3840000000055</v>
      </c>
      <c r="M41" s="182"/>
      <c r="N41" s="206">
        <v>-8551.73</v>
      </c>
      <c r="O41" s="182"/>
      <c r="P41" s="182"/>
      <c r="Q41" s="182"/>
      <c r="R41" s="182"/>
      <c r="S41" s="182"/>
      <c r="T41" s="182"/>
      <c r="U41" s="236">
        <v>-7905.97</v>
      </c>
      <c r="V41" s="182"/>
      <c r="W41" s="182"/>
      <c r="X41" s="182"/>
      <c r="Y41" s="182">
        <v>-21820.644000000004</v>
      </c>
    </row>
    <row r="42" spans="1:28">
      <c r="A42" s="172" t="s">
        <v>165</v>
      </c>
      <c r="B42" s="182"/>
      <c r="C42" s="182">
        <v>-148.5</v>
      </c>
      <c r="D42" s="182"/>
      <c r="E42" s="182"/>
      <c r="F42" s="182"/>
      <c r="G42" s="182"/>
      <c r="H42" s="182"/>
      <c r="I42" s="182">
        <v>-148.5</v>
      </c>
      <c r="J42" s="182"/>
      <c r="K42" s="182"/>
      <c r="L42" s="182">
        <v>-148.5</v>
      </c>
      <c r="M42" s="182"/>
      <c r="N42" s="206">
        <v>-148.5</v>
      </c>
      <c r="O42" s="182"/>
      <c r="P42" s="182"/>
      <c r="Q42" s="182"/>
      <c r="R42" s="182"/>
      <c r="S42" s="182"/>
      <c r="T42" s="182"/>
      <c r="U42" s="236">
        <v>-150</v>
      </c>
      <c r="V42" s="182"/>
      <c r="W42" s="182"/>
      <c r="X42" s="182"/>
      <c r="Y42" s="182">
        <v>-744</v>
      </c>
    </row>
    <row r="43" spans="1:28">
      <c r="A43" s="172" t="s">
        <v>178</v>
      </c>
      <c r="B43" s="182"/>
      <c r="C43" s="182"/>
      <c r="D43" s="182"/>
      <c r="E43" s="182"/>
      <c r="F43" s="182"/>
      <c r="G43" s="182"/>
      <c r="H43" s="182"/>
      <c r="I43" s="182">
        <v>-148.5</v>
      </c>
      <c r="J43" s="182"/>
      <c r="K43" s="182"/>
      <c r="L43" s="182">
        <v>-148.5</v>
      </c>
      <c r="M43" s="182"/>
      <c r="N43" s="206">
        <v>-148.5</v>
      </c>
      <c r="O43" s="182"/>
      <c r="P43" s="182"/>
      <c r="Q43" s="182"/>
      <c r="R43" s="182"/>
      <c r="S43" s="182"/>
      <c r="T43" s="182"/>
      <c r="U43" s="236">
        <v>-150</v>
      </c>
      <c r="V43" s="182"/>
      <c r="W43" s="182"/>
      <c r="X43" s="182"/>
      <c r="Y43" s="182">
        <v>-595.5</v>
      </c>
    </row>
    <row r="44" spans="1:28">
      <c r="A44" s="172" t="s">
        <v>177</v>
      </c>
      <c r="B44" s="182"/>
      <c r="C44" s="182"/>
      <c r="D44" s="182"/>
      <c r="E44" s="182"/>
      <c r="F44" s="182"/>
      <c r="G44" s="182"/>
      <c r="H44" s="182"/>
      <c r="I44" s="182">
        <v>-148.5</v>
      </c>
      <c r="J44" s="182"/>
      <c r="K44" s="182"/>
      <c r="L44" s="182">
        <v>-148.5</v>
      </c>
      <c r="M44" s="182"/>
      <c r="N44" s="206">
        <v>-148.5</v>
      </c>
      <c r="O44" s="182"/>
      <c r="P44" s="182"/>
      <c r="Q44" s="182"/>
      <c r="R44" s="182"/>
      <c r="S44" s="182"/>
      <c r="T44" s="182"/>
      <c r="U44" s="236">
        <v>-150</v>
      </c>
      <c r="V44" s="182"/>
      <c r="W44" s="182"/>
      <c r="X44" s="182"/>
      <c r="Y44" s="182">
        <v>-595.5</v>
      </c>
    </row>
    <row r="45" spans="1:28">
      <c r="A45" s="172" t="s">
        <v>332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236">
        <v>-3750</v>
      </c>
      <c r="Y45" s="182">
        <v>-3750</v>
      </c>
    </row>
    <row r="46" spans="1:28">
      <c r="A46" s="172" t="s">
        <v>303</v>
      </c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236">
        <v>-2857.1428571428601</v>
      </c>
      <c r="T46" s="182"/>
      <c r="U46" s="182"/>
      <c r="V46" s="182"/>
      <c r="W46" s="182"/>
      <c r="X46" s="182"/>
      <c r="Y46" s="182">
        <v>-2857.1428571428601</v>
      </c>
    </row>
    <row r="47" spans="1:28">
      <c r="A47" s="172" t="s">
        <v>14</v>
      </c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236">
        <v>-18000</v>
      </c>
      <c r="T47" s="182"/>
      <c r="U47" s="182"/>
      <c r="V47" s="182"/>
      <c r="W47" s="182"/>
      <c r="X47" s="182"/>
      <c r="Y47" s="182">
        <v>-18000</v>
      </c>
    </row>
    <row r="48" spans="1:28">
      <c r="A48" s="172" t="s">
        <v>277</v>
      </c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206">
        <v>-157.5</v>
      </c>
      <c r="S48" s="182"/>
      <c r="T48" s="182"/>
      <c r="U48" s="182">
        <v>0</v>
      </c>
      <c r="V48" s="182"/>
      <c r="W48" s="182"/>
      <c r="X48" s="182"/>
      <c r="Y48" s="182">
        <v>-157.5</v>
      </c>
    </row>
    <row r="49" spans="1:25">
      <c r="A49" s="172" t="s">
        <v>228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206">
        <v>-4429</v>
      </c>
      <c r="N49" s="182"/>
      <c r="O49" s="182"/>
      <c r="P49" s="182"/>
      <c r="Q49" s="182"/>
      <c r="R49" s="182"/>
      <c r="S49" s="236">
        <v>-10000</v>
      </c>
      <c r="T49" s="182"/>
      <c r="U49" s="182"/>
      <c r="V49" s="182"/>
      <c r="W49" s="182"/>
      <c r="X49" s="182"/>
      <c r="Y49" s="182">
        <v>-14429</v>
      </c>
    </row>
    <row r="50" spans="1:25">
      <c r="A50" s="172" t="s">
        <v>174</v>
      </c>
      <c r="B50" s="182"/>
      <c r="C50" s="182"/>
      <c r="D50" s="182"/>
      <c r="E50" s="182"/>
      <c r="F50" s="182"/>
      <c r="G50" s="182"/>
      <c r="H50" s="182">
        <v>-1600</v>
      </c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>
        <v>-1600</v>
      </c>
    </row>
    <row r="51" spans="1:25">
      <c r="A51" s="172" t="s">
        <v>23</v>
      </c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236">
        <v>-5714.2857142857101</v>
      </c>
      <c r="U51" s="182"/>
      <c r="V51" s="182"/>
      <c r="W51" s="182"/>
      <c r="X51" s="182"/>
      <c r="Y51" s="182">
        <v>-5714.2857142857101</v>
      </c>
    </row>
    <row r="52" spans="1:25">
      <c r="A52" s="172" t="s">
        <v>239</v>
      </c>
      <c r="B52" s="182"/>
      <c r="C52" s="182"/>
      <c r="D52" s="182"/>
      <c r="E52" s="182"/>
      <c r="F52" s="182"/>
      <c r="G52" s="182"/>
      <c r="H52" s="182"/>
      <c r="I52" s="182"/>
      <c r="J52" s="182">
        <v>-9500</v>
      </c>
      <c r="K52" s="182"/>
      <c r="L52" s="182"/>
      <c r="M52" s="206">
        <v>-9500</v>
      </c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>
        <v>-19000</v>
      </c>
    </row>
    <row r="53" spans="1:25">
      <c r="A53" s="172" t="s">
        <v>344</v>
      </c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236">
        <v>-739.79</v>
      </c>
      <c r="V53" s="182"/>
      <c r="W53" s="182"/>
      <c r="X53" s="182"/>
      <c r="Y53" s="182">
        <v>-739.79</v>
      </c>
    </row>
    <row r="54" spans="1:25">
      <c r="A54" s="172" t="s">
        <v>231</v>
      </c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206">
        <v>-15000</v>
      </c>
      <c r="O54" s="182"/>
      <c r="P54" s="182"/>
      <c r="Q54" s="182"/>
      <c r="R54" s="182"/>
      <c r="S54" s="236">
        <v>-15000</v>
      </c>
      <c r="T54" s="182"/>
      <c r="U54" s="182"/>
      <c r="V54" s="182"/>
      <c r="W54" s="182"/>
      <c r="X54" s="182"/>
      <c r="Y54" s="182">
        <v>-30000</v>
      </c>
    </row>
    <row r="55" spans="1:25">
      <c r="A55" s="172" t="s">
        <v>278</v>
      </c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206">
        <v>-300</v>
      </c>
      <c r="S55" s="182"/>
      <c r="T55" s="182"/>
      <c r="U55" s="236">
        <v>-600</v>
      </c>
      <c r="V55" s="182"/>
      <c r="W55" s="182"/>
      <c r="X55" s="182"/>
      <c r="Y55" s="182">
        <v>-900</v>
      </c>
    </row>
    <row r="56" spans="1:25">
      <c r="A56" s="172" t="s">
        <v>188</v>
      </c>
      <c r="B56" s="182"/>
      <c r="C56" s="182"/>
      <c r="D56" s="182"/>
      <c r="E56" s="182"/>
      <c r="F56" s="182"/>
      <c r="G56" s="182"/>
      <c r="H56" s="182"/>
      <c r="I56" s="182"/>
      <c r="J56" s="182">
        <v>-18000</v>
      </c>
      <c r="K56" s="182"/>
      <c r="L56" s="182"/>
      <c r="M56" s="206">
        <v>-18000</v>
      </c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>
        <v>-36000</v>
      </c>
    </row>
    <row r="57" spans="1:25">
      <c r="A57" s="172" t="s">
        <v>189</v>
      </c>
      <c r="B57" s="182"/>
      <c r="C57" s="182"/>
      <c r="D57" s="182"/>
      <c r="E57" s="182"/>
      <c r="F57" s="182"/>
      <c r="G57" s="182"/>
      <c r="H57" s="182"/>
      <c r="I57" s="182"/>
      <c r="J57" s="182">
        <v>-9000</v>
      </c>
      <c r="K57" s="182"/>
      <c r="L57" s="182"/>
      <c r="M57" s="206">
        <v>-9000</v>
      </c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>
        <v>-18000</v>
      </c>
    </row>
    <row r="58" spans="1:25">
      <c r="A58" s="172" t="s">
        <v>335</v>
      </c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236">
        <v>-4120.76</v>
      </c>
      <c r="V58" s="182"/>
      <c r="W58" s="182"/>
      <c r="X58" s="182"/>
      <c r="Y58" s="182">
        <v>-4120.76</v>
      </c>
    </row>
    <row r="59" spans="1:25">
      <c r="A59" s="172" t="s">
        <v>172</v>
      </c>
      <c r="B59" s="182"/>
      <c r="C59" s="182"/>
      <c r="D59" s="182">
        <v>-10000</v>
      </c>
      <c r="E59" s="182"/>
      <c r="F59" s="182"/>
      <c r="G59" s="182"/>
      <c r="H59" s="182"/>
      <c r="I59" s="182"/>
      <c r="J59" s="182"/>
      <c r="K59" s="182"/>
      <c r="L59" s="182"/>
      <c r="M59" s="182"/>
      <c r="N59" s="206">
        <v>-17063.260000000002</v>
      </c>
      <c r="O59" s="182"/>
      <c r="P59" s="182"/>
      <c r="Q59" s="182"/>
      <c r="R59" s="182"/>
      <c r="S59" s="182"/>
      <c r="T59" s="182"/>
      <c r="U59" s="236">
        <v>-16000</v>
      </c>
      <c r="V59" s="182"/>
      <c r="W59" s="182"/>
      <c r="X59" s="182"/>
      <c r="Y59" s="182">
        <v>-43063.26</v>
      </c>
    </row>
    <row r="60" spans="1:25">
      <c r="A60" s="172" t="s">
        <v>267</v>
      </c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206">
        <v>-15117.26</v>
      </c>
      <c r="O60" s="182"/>
      <c r="P60" s="182"/>
      <c r="Q60" s="182"/>
      <c r="R60" s="182"/>
      <c r="S60" s="182"/>
      <c r="T60" s="182"/>
      <c r="U60" s="236">
        <v>-16000</v>
      </c>
      <c r="V60" s="182"/>
      <c r="W60" s="182"/>
      <c r="X60" s="182"/>
      <c r="Y60" s="182">
        <v>-31117.260000000002</v>
      </c>
    </row>
    <row r="61" spans="1:25">
      <c r="A61" s="172" t="s">
        <v>266</v>
      </c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206">
        <v>-16027.76</v>
      </c>
      <c r="O61" s="182"/>
      <c r="P61" s="182"/>
      <c r="Q61" s="182"/>
      <c r="R61" s="182"/>
      <c r="S61" s="182"/>
      <c r="T61" s="182"/>
      <c r="U61" s="236">
        <v>-14747.23</v>
      </c>
      <c r="V61" s="182"/>
      <c r="W61" s="182"/>
      <c r="X61" s="182"/>
      <c r="Y61" s="182">
        <v>-30774.989999999998</v>
      </c>
    </row>
    <row r="62" spans="1:25">
      <c r="A62" s="172" t="s">
        <v>19</v>
      </c>
      <c r="B62" s="182">
        <v>-1200</v>
      </c>
      <c r="C62" s="182"/>
      <c r="D62" s="182"/>
      <c r="E62" s="182"/>
      <c r="F62" s="182"/>
      <c r="G62" s="182">
        <v>-1200</v>
      </c>
      <c r="H62" s="182"/>
      <c r="I62" s="182"/>
      <c r="J62" s="182">
        <v>-1200</v>
      </c>
      <c r="K62" s="182"/>
      <c r="L62" s="182"/>
      <c r="M62" s="206">
        <v>-1200</v>
      </c>
      <c r="N62" s="182"/>
      <c r="O62" s="182"/>
      <c r="P62" s="182"/>
      <c r="Q62" s="182"/>
      <c r="R62" s="182"/>
      <c r="S62" s="236">
        <v>-1200</v>
      </c>
      <c r="T62" s="182"/>
      <c r="U62" s="182"/>
      <c r="V62" s="182"/>
      <c r="W62" s="182"/>
      <c r="X62" s="182"/>
      <c r="Y62" s="182">
        <v>-6000</v>
      </c>
    </row>
    <row r="63" spans="1:25">
      <c r="A63" s="172" t="s">
        <v>161</v>
      </c>
      <c r="B63" s="182">
        <v>-3000</v>
      </c>
      <c r="C63" s="182"/>
      <c r="D63" s="182"/>
      <c r="E63" s="182"/>
      <c r="F63" s="182"/>
      <c r="G63" s="182">
        <v>-3000</v>
      </c>
      <c r="H63" s="182"/>
      <c r="I63" s="182"/>
      <c r="J63" s="182">
        <v>-3000</v>
      </c>
      <c r="K63" s="182"/>
      <c r="L63" s="182"/>
      <c r="M63" s="206">
        <v>-5000</v>
      </c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>
        <v>-14000</v>
      </c>
    </row>
    <row r="64" spans="1:25">
      <c r="A64" s="172" t="s">
        <v>11</v>
      </c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236">
        <v>-5000</v>
      </c>
      <c r="T64" s="182"/>
      <c r="U64" s="182"/>
      <c r="V64" s="182"/>
      <c r="W64" s="182"/>
      <c r="X64" s="182"/>
      <c r="Y64" s="182">
        <v>-5000</v>
      </c>
    </row>
    <row r="65" spans="1:26">
      <c r="A65" s="172" t="s">
        <v>237</v>
      </c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206">
        <v>-206.32999999999998</v>
      </c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>
        <v>-206.32999999999998</v>
      </c>
    </row>
    <row r="66" spans="1:26">
      <c r="A66" s="172" t="s">
        <v>342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236">
        <v>-72.22</v>
      </c>
      <c r="V66" s="182"/>
      <c r="W66" s="182"/>
      <c r="X66" s="182"/>
      <c r="Y66" s="182">
        <v>-72.22</v>
      </c>
    </row>
    <row r="67" spans="1:26">
      <c r="A67" s="172" t="s">
        <v>316</v>
      </c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</row>
    <row r="68" spans="1:26">
      <c r="A68" s="172" t="s">
        <v>168</v>
      </c>
      <c r="B68" s="182"/>
      <c r="C68" s="182"/>
      <c r="D68" s="182">
        <v>0</v>
      </c>
      <c r="E68" s="182"/>
      <c r="F68" s="182"/>
      <c r="G68" s="182"/>
      <c r="H68" s="182"/>
      <c r="I68" s="182">
        <v>-785.99</v>
      </c>
      <c r="J68" s="182"/>
      <c r="K68" s="182"/>
      <c r="L68" s="182">
        <v>-422</v>
      </c>
      <c r="M68" s="182"/>
      <c r="N68" s="206">
        <v>-1537.23</v>
      </c>
      <c r="O68" s="182"/>
      <c r="P68" s="182"/>
      <c r="Q68" s="182"/>
      <c r="R68" s="182"/>
      <c r="S68" s="182"/>
      <c r="T68" s="182"/>
      <c r="U68" s="182"/>
      <c r="V68" s="182"/>
      <c r="W68" s="236">
        <v>-3183</v>
      </c>
      <c r="X68" s="182"/>
      <c r="Y68" s="182">
        <v>-5928.22</v>
      </c>
    </row>
    <row r="69" spans="1:26">
      <c r="A69" s="172" t="s">
        <v>170</v>
      </c>
      <c r="B69" s="182"/>
      <c r="C69" s="182"/>
      <c r="D69" s="182">
        <v>-2668.23</v>
      </c>
      <c r="E69" s="182"/>
      <c r="F69" s="182"/>
      <c r="G69" s="182"/>
      <c r="H69" s="182"/>
      <c r="I69" s="182">
        <v>-5227.3100000000013</v>
      </c>
      <c r="J69" s="182"/>
      <c r="K69" s="182"/>
      <c r="L69" s="182">
        <v>-8905.48</v>
      </c>
      <c r="M69" s="182"/>
      <c r="N69" s="206">
        <v>-10997.22</v>
      </c>
      <c r="O69" s="182"/>
      <c r="P69" s="182"/>
      <c r="Q69" s="182"/>
      <c r="R69" s="182"/>
      <c r="S69" s="182"/>
      <c r="T69" s="182"/>
      <c r="U69" s="182"/>
      <c r="V69" s="182"/>
      <c r="W69" s="236">
        <v>-13868.779999999999</v>
      </c>
      <c r="X69" s="182"/>
      <c r="Y69" s="182">
        <v>-41667.019999999997</v>
      </c>
    </row>
    <row r="70" spans="1:26">
      <c r="A70" s="172" t="s">
        <v>334</v>
      </c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236">
        <v>-1000</v>
      </c>
      <c r="V70" s="182"/>
      <c r="W70" s="182"/>
      <c r="X70" s="182"/>
      <c r="Y70" s="182">
        <v>-1000</v>
      </c>
    </row>
    <row r="71" spans="1:26">
      <c r="A71" s="172" t="s">
        <v>340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236">
        <v>-48.8</v>
      </c>
      <c r="V71" s="182"/>
      <c r="W71" s="182"/>
      <c r="X71" s="182"/>
      <c r="Y71" s="182">
        <v>-48.8</v>
      </c>
    </row>
    <row r="72" spans="1:26">
      <c r="A72" s="172" t="s">
        <v>171</v>
      </c>
      <c r="B72" s="182"/>
      <c r="C72" s="182"/>
      <c r="D72" s="182">
        <v>-594</v>
      </c>
      <c r="E72" s="182"/>
      <c r="F72" s="182"/>
      <c r="G72" s="182"/>
      <c r="H72" s="182"/>
      <c r="I72" s="182">
        <v>-1163.6399999999999</v>
      </c>
      <c r="J72" s="182"/>
      <c r="K72" s="182"/>
      <c r="L72" s="182">
        <v>-5393</v>
      </c>
      <c r="M72" s="182"/>
      <c r="N72" s="206">
        <v>-9777.2799999999988</v>
      </c>
      <c r="O72" s="182"/>
      <c r="P72" s="182"/>
      <c r="Q72" s="182"/>
      <c r="R72" s="182"/>
      <c r="S72" s="182"/>
      <c r="T72" s="182"/>
      <c r="U72" s="182"/>
      <c r="V72" s="182"/>
      <c r="W72" s="236">
        <v>-9345.0499999999993</v>
      </c>
      <c r="X72" s="182"/>
      <c r="Y72" s="182">
        <v>-26272.969999999998</v>
      </c>
    </row>
    <row r="73" spans="1:26">
      <c r="A73" s="172" t="s">
        <v>300</v>
      </c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>
        <v>0</v>
      </c>
      <c r="T73" s="182"/>
      <c r="U73" s="182"/>
      <c r="V73" s="182"/>
      <c r="W73" s="182"/>
      <c r="X73" s="182"/>
      <c r="Y73" s="182">
        <v>0</v>
      </c>
    </row>
    <row r="74" spans="1:26">
      <c r="A74" s="172" t="s">
        <v>269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206">
        <v>-206.68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>
        <v>-206.68</v>
      </c>
    </row>
    <row r="75" spans="1:26">
      <c r="A75" s="172" t="s">
        <v>270</v>
      </c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206">
        <v>-236.98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>
        <v>-236.98</v>
      </c>
    </row>
    <row r="76" spans="1:26">
      <c r="A76" s="172" t="s">
        <v>338</v>
      </c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</row>
    <row r="77" spans="1:26">
      <c r="A77" s="172" t="s">
        <v>339</v>
      </c>
      <c r="B77" s="182">
        <v>-14420</v>
      </c>
      <c r="C77" s="182">
        <v>-797.7</v>
      </c>
      <c r="D77" s="182">
        <v>-13502.23</v>
      </c>
      <c r="E77" s="182">
        <v>-88.98</v>
      </c>
      <c r="F77" s="182">
        <v>-1104.3900000000001</v>
      </c>
      <c r="G77" s="182">
        <v>-16083.83</v>
      </c>
      <c r="H77" s="182">
        <v>-3100</v>
      </c>
      <c r="I77" s="182">
        <v>-11426.380000000001</v>
      </c>
      <c r="J77" s="182">
        <v>-79365.98</v>
      </c>
      <c r="K77" s="182">
        <v>-1565</v>
      </c>
      <c r="L77" s="182">
        <v>-20641.164000000004</v>
      </c>
      <c r="M77" s="182">
        <v>-89768.33</v>
      </c>
      <c r="N77" s="182">
        <v>-89233.219999999987</v>
      </c>
      <c r="O77" s="182">
        <v>-1700</v>
      </c>
      <c r="P77" s="182"/>
      <c r="Q77" s="182">
        <v>-4688.05</v>
      </c>
      <c r="R77" s="182">
        <v>-457.5</v>
      </c>
      <c r="S77" s="182">
        <v>-128178.57571428572</v>
      </c>
      <c r="T77" s="182">
        <v>-5753.2857142857101</v>
      </c>
      <c r="U77" s="182">
        <v>-99704.61</v>
      </c>
      <c r="V77" s="182">
        <v>-2127.27</v>
      </c>
      <c r="W77" s="182">
        <v>-26396.829999999998</v>
      </c>
      <c r="X77" s="182">
        <v>-3750</v>
      </c>
      <c r="Y77" s="182">
        <v>-613853.32542857132</v>
      </c>
    </row>
    <row r="78" spans="1:26">
      <c r="X78">
        <f>X77/16</f>
        <v>-234.375</v>
      </c>
      <c r="Y78">
        <f>Y77/16</f>
        <v>-38365.832839285707</v>
      </c>
      <c r="Z78">
        <v>93.75</v>
      </c>
    </row>
    <row r="81" spans="26:26">
      <c r="Z81">
        <v>80</v>
      </c>
    </row>
    <row r="82" spans="26:26">
      <c r="Z82">
        <f>Z81*3</f>
        <v>240</v>
      </c>
    </row>
    <row r="83" spans="26:26">
      <c r="Z83">
        <f>Z82*4</f>
        <v>960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F840-3D66-B643-A3B2-51EBC11E16E0}">
  <dimension ref="B4:L156"/>
  <sheetViews>
    <sheetView topLeftCell="A134" zoomScale="120" zoomScaleNormal="120" workbookViewId="0">
      <selection activeCell="H158" sqref="H158"/>
    </sheetView>
  </sheetViews>
  <sheetFormatPr defaultColWidth="11" defaultRowHeight="15.75"/>
  <cols>
    <col min="2" max="2" width="27.875" bestFit="1" customWidth="1"/>
    <col min="3" max="3" width="13.375" bestFit="1" customWidth="1"/>
    <col min="4" max="4" width="17.5" style="1" bestFit="1" customWidth="1"/>
    <col min="5" max="5" width="18" bestFit="1" customWidth="1"/>
    <col min="7" max="7" width="12.875" bestFit="1" customWidth="1"/>
    <col min="8" max="8" width="13.125" bestFit="1" customWidth="1"/>
    <col min="11" max="11" width="14.5" bestFit="1" customWidth="1"/>
    <col min="12" max="12" width="13.125" bestFit="1" customWidth="1"/>
  </cols>
  <sheetData>
    <row r="4" spans="2:11">
      <c r="B4" t="s">
        <v>154</v>
      </c>
      <c r="C4" s="168" t="s">
        <v>155</v>
      </c>
      <c r="D4" s="168" t="s">
        <v>156</v>
      </c>
      <c r="E4" s="168" t="s">
        <v>157</v>
      </c>
      <c r="F4" s="168" t="s">
        <v>158</v>
      </c>
      <c r="G4" s="53"/>
      <c r="H4" s="53"/>
      <c r="I4" s="53"/>
      <c r="J4" s="53"/>
      <c r="K4" s="53"/>
    </row>
    <row r="5" spans="2:11">
      <c r="B5" t="s">
        <v>159</v>
      </c>
      <c r="C5" s="169">
        <v>-10000</v>
      </c>
      <c r="D5" s="3">
        <v>44990</v>
      </c>
      <c r="E5" s="168">
        <v>44958</v>
      </c>
      <c r="F5" s="1" t="s">
        <v>160</v>
      </c>
    </row>
    <row r="6" spans="2:11">
      <c r="B6" t="s">
        <v>161</v>
      </c>
      <c r="C6" s="169">
        <v>-3000</v>
      </c>
      <c r="D6" s="3">
        <v>44990</v>
      </c>
      <c r="E6" s="168">
        <v>44958</v>
      </c>
      <c r="F6" s="1" t="s">
        <v>160</v>
      </c>
    </row>
    <row r="7" spans="2:11">
      <c r="B7" t="s">
        <v>19</v>
      </c>
      <c r="C7" s="169">
        <v>-1200</v>
      </c>
      <c r="D7" s="3">
        <v>44990</v>
      </c>
      <c r="E7" s="168">
        <v>44958</v>
      </c>
      <c r="F7" s="1" t="s">
        <v>162</v>
      </c>
    </row>
    <row r="8" spans="2:11">
      <c r="B8" t="s">
        <v>25</v>
      </c>
      <c r="C8" s="169">
        <v>-220</v>
      </c>
      <c r="D8" s="3">
        <v>44990</v>
      </c>
      <c r="E8" s="168">
        <v>44958</v>
      </c>
      <c r="F8" s="1" t="s">
        <v>160</v>
      </c>
    </row>
    <row r="9" spans="2:11">
      <c r="B9" t="s">
        <v>163</v>
      </c>
      <c r="C9" s="169">
        <v>-649.20000000000005</v>
      </c>
      <c r="D9" s="3">
        <v>45005</v>
      </c>
      <c r="E9" s="168">
        <v>44958</v>
      </c>
      <c r="F9" s="1" t="s">
        <v>164</v>
      </c>
    </row>
    <row r="10" spans="2:11">
      <c r="B10" t="s">
        <v>165</v>
      </c>
      <c r="C10" s="169">
        <v>-148.5</v>
      </c>
      <c r="D10" s="3">
        <v>45005</v>
      </c>
      <c r="E10" s="168">
        <v>44958</v>
      </c>
      <c r="F10" s="1" t="s">
        <v>164</v>
      </c>
    </row>
    <row r="11" spans="2:11">
      <c r="B11" t="s">
        <v>116</v>
      </c>
      <c r="C11" s="169">
        <v>-240</v>
      </c>
      <c r="D11" s="3">
        <v>44998</v>
      </c>
      <c r="E11" s="168">
        <v>44958</v>
      </c>
      <c r="F11" s="1" t="s">
        <v>164</v>
      </c>
    </row>
    <row r="12" spans="2:11">
      <c r="B12" t="s">
        <v>166</v>
      </c>
      <c r="C12" s="169">
        <v>-88.98</v>
      </c>
      <c r="D12" s="3">
        <v>45000</v>
      </c>
      <c r="E12" s="168">
        <v>44958</v>
      </c>
      <c r="F12" s="1" t="s">
        <v>164</v>
      </c>
    </row>
    <row r="13" spans="2:11">
      <c r="B13" t="s">
        <v>167</v>
      </c>
      <c r="C13" s="169">
        <v>-1104.3900000000001</v>
      </c>
      <c r="D13" s="3">
        <v>44993</v>
      </c>
      <c r="E13" s="168">
        <v>44958</v>
      </c>
      <c r="F13" s="1" t="s">
        <v>164</v>
      </c>
    </row>
    <row r="14" spans="2:11">
      <c r="B14" t="s">
        <v>168</v>
      </c>
      <c r="C14" s="169">
        <f>[2]REEMBOLSOS!E33</f>
        <v>0</v>
      </c>
      <c r="D14" s="3">
        <v>44998</v>
      </c>
      <c r="E14" s="168">
        <v>44958</v>
      </c>
      <c r="F14" s="1" t="s">
        <v>169</v>
      </c>
    </row>
    <row r="15" spans="2:11">
      <c r="B15" t="s">
        <v>170</v>
      </c>
      <c r="C15" s="169">
        <f>+[2]REEMBOLSOS!E35+[2]REEMBOLSOS!E18</f>
        <v>-2668.23</v>
      </c>
      <c r="D15" s="3">
        <v>44998</v>
      </c>
      <c r="E15" s="168">
        <v>44958</v>
      </c>
      <c r="F15" s="1" t="s">
        <v>169</v>
      </c>
    </row>
    <row r="16" spans="2:11">
      <c r="B16" t="s">
        <v>171</v>
      </c>
      <c r="C16" s="5">
        <f>[2]REEMBOLSOS!E3+[2]REEMBOLSOS!E30</f>
        <v>-594</v>
      </c>
      <c r="D16" s="3">
        <v>44998</v>
      </c>
      <c r="E16" s="168">
        <v>44958</v>
      </c>
      <c r="F16" s="1" t="s">
        <v>169</v>
      </c>
    </row>
    <row r="17" spans="2:6">
      <c r="B17" t="s">
        <v>172</v>
      </c>
      <c r="C17" s="169">
        <v>-10000</v>
      </c>
      <c r="D17" s="3">
        <v>44998</v>
      </c>
      <c r="E17" s="168">
        <v>44958</v>
      </c>
      <c r="F17" s="1" t="s">
        <v>173</v>
      </c>
    </row>
    <row r="18" spans="2:6">
      <c r="B18" t="s">
        <v>159</v>
      </c>
      <c r="C18" s="169">
        <v>-10000</v>
      </c>
      <c r="D18" s="3">
        <v>45021</v>
      </c>
      <c r="E18" s="168">
        <v>44986</v>
      </c>
      <c r="F18" s="1" t="s">
        <v>160</v>
      </c>
    </row>
    <row r="19" spans="2:6">
      <c r="B19" t="s">
        <v>161</v>
      </c>
      <c r="C19" s="169">
        <v>-3000</v>
      </c>
      <c r="D19" s="3">
        <v>45021</v>
      </c>
      <c r="E19" s="168">
        <v>44986</v>
      </c>
      <c r="F19" s="1" t="s">
        <v>160</v>
      </c>
    </row>
    <row r="20" spans="2:6">
      <c r="B20" t="s">
        <v>19</v>
      </c>
      <c r="C20" s="169">
        <v>-1200</v>
      </c>
      <c r="D20" s="3">
        <v>45021</v>
      </c>
      <c r="E20" s="168">
        <v>44986</v>
      </c>
      <c r="F20" s="1" t="s">
        <v>162</v>
      </c>
    </row>
    <row r="21" spans="2:6">
      <c r="B21" t="s">
        <v>25</v>
      </c>
      <c r="C21" s="169">
        <v>-1036</v>
      </c>
      <c r="D21" s="3">
        <v>45021</v>
      </c>
      <c r="E21" s="168">
        <v>44986</v>
      </c>
      <c r="F21" s="1" t="s">
        <v>160</v>
      </c>
    </row>
    <row r="22" spans="2:6">
      <c r="B22" t="s">
        <v>174</v>
      </c>
      <c r="C22" s="169">
        <v>-1600</v>
      </c>
      <c r="D22" s="3">
        <v>45017</v>
      </c>
      <c r="E22" s="168">
        <v>44986</v>
      </c>
      <c r="F22" s="1"/>
    </row>
    <row r="23" spans="2:6">
      <c r="B23" t="s">
        <v>175</v>
      </c>
      <c r="C23" s="169">
        <v>-1500</v>
      </c>
      <c r="D23" s="3">
        <v>45017</v>
      </c>
      <c r="E23" s="168">
        <v>44986</v>
      </c>
      <c r="F23" s="1"/>
    </row>
    <row r="24" spans="2:6">
      <c r="B24" t="s">
        <v>163</v>
      </c>
      <c r="C24" s="169">
        <f>[2]PAGAMENTOS!F4</f>
        <v>-428.4</v>
      </c>
      <c r="D24" s="3">
        <v>45036</v>
      </c>
      <c r="E24" s="168">
        <v>44986</v>
      </c>
      <c r="F24" s="1" t="s">
        <v>164</v>
      </c>
    </row>
    <row r="25" spans="2:6">
      <c r="B25" t="s">
        <v>176</v>
      </c>
      <c r="C25" s="169">
        <f>[2]PAGAMENTOS!F5</f>
        <v>-2386.56</v>
      </c>
      <c r="D25" s="3">
        <v>45036</v>
      </c>
      <c r="E25" s="168">
        <v>44986</v>
      </c>
      <c r="F25" s="1"/>
    </row>
    <row r="26" spans="2:6">
      <c r="B26" t="s">
        <v>165</v>
      </c>
      <c r="C26" s="169">
        <v>-148.5</v>
      </c>
      <c r="D26" s="3">
        <v>45036</v>
      </c>
      <c r="E26" s="168">
        <v>44986</v>
      </c>
      <c r="F26" s="1" t="s">
        <v>164</v>
      </c>
    </row>
    <row r="27" spans="2:6">
      <c r="B27" t="s">
        <v>177</v>
      </c>
      <c r="C27" s="169">
        <v>-148.5</v>
      </c>
      <c r="D27" s="3">
        <v>45036</v>
      </c>
      <c r="E27" s="168">
        <v>44986</v>
      </c>
      <c r="F27" s="1"/>
    </row>
    <row r="28" spans="2:6">
      <c r="B28" t="s">
        <v>178</v>
      </c>
      <c r="C28" s="169">
        <v>-148.5</v>
      </c>
      <c r="D28" s="3">
        <v>45036</v>
      </c>
      <c r="E28" s="168">
        <v>44986</v>
      </c>
      <c r="F28" s="1"/>
    </row>
    <row r="29" spans="2:6">
      <c r="B29" t="s">
        <v>179</v>
      </c>
      <c r="C29" s="169">
        <v>-450</v>
      </c>
      <c r="D29" s="3">
        <v>45036</v>
      </c>
      <c r="E29" s="168">
        <v>44986</v>
      </c>
      <c r="F29" s="1" t="s">
        <v>164</v>
      </c>
    </row>
    <row r="30" spans="2:6">
      <c r="B30" t="s">
        <v>180</v>
      </c>
      <c r="C30" s="169">
        <v>-450</v>
      </c>
      <c r="D30" s="3">
        <v>45036</v>
      </c>
      <c r="E30" s="168">
        <v>44986</v>
      </c>
      <c r="F30" s="1"/>
    </row>
    <row r="31" spans="2:6">
      <c r="B31" t="s">
        <v>166</v>
      </c>
      <c r="C31" s="169">
        <v>-88.98</v>
      </c>
      <c r="D31" s="3">
        <v>45036</v>
      </c>
      <c r="E31" s="168">
        <v>44986</v>
      </c>
      <c r="F31" s="1" t="s">
        <v>164</v>
      </c>
    </row>
    <row r="32" spans="2:6">
      <c r="B32" t="s">
        <v>181</v>
      </c>
      <c r="C32" s="169">
        <v>-68</v>
      </c>
      <c r="D32" s="3">
        <v>45021</v>
      </c>
      <c r="E32" s="168">
        <v>44986</v>
      </c>
      <c r="F32" s="1"/>
    </row>
    <row r="33" spans="2:6">
      <c r="B33" t="s">
        <v>167</v>
      </c>
      <c r="C33" s="169">
        <v>-779.83</v>
      </c>
      <c r="D33" s="3">
        <v>45021</v>
      </c>
      <c r="E33" s="168">
        <v>44986</v>
      </c>
      <c r="F33" s="1" t="s">
        <v>164</v>
      </c>
    </row>
    <row r="34" spans="2:6">
      <c r="B34" t="s">
        <v>168</v>
      </c>
      <c r="C34" s="169">
        <f>[2]REEMBOLSOS!F14+[2]REEMBOLSOS!F33</f>
        <v>-785.99</v>
      </c>
      <c r="D34" s="170">
        <v>45036</v>
      </c>
      <c r="E34" s="168">
        <v>44986</v>
      </c>
      <c r="F34" s="1" t="s">
        <v>169</v>
      </c>
    </row>
    <row r="35" spans="2:6">
      <c r="B35" t="s">
        <v>170</v>
      </c>
      <c r="C35" s="169">
        <f>[2]REEMBOLSOS!F35+[2]REEMBOLSOS!F18</f>
        <v>-5227.3100000000013</v>
      </c>
      <c r="D35" s="3">
        <v>45036</v>
      </c>
      <c r="E35" s="168">
        <v>44986</v>
      </c>
      <c r="F35" s="1" t="s">
        <v>169</v>
      </c>
    </row>
    <row r="36" spans="2:6">
      <c r="B36" t="s">
        <v>171</v>
      </c>
      <c r="C36" s="5">
        <f>[2]REEMBOLSOS!F3+[2]REEMBOLSOS!F30</f>
        <v>-1163.6399999999999</v>
      </c>
      <c r="D36" s="3">
        <v>45036</v>
      </c>
      <c r="E36" s="168">
        <v>44986</v>
      </c>
      <c r="F36" s="1" t="s">
        <v>169</v>
      </c>
    </row>
    <row r="37" spans="2:6">
      <c r="B37" t="s">
        <v>159</v>
      </c>
      <c r="C37" s="169">
        <v>-10000</v>
      </c>
      <c r="D37" s="3">
        <v>45051</v>
      </c>
      <c r="E37" s="168">
        <v>45017</v>
      </c>
    </row>
    <row r="38" spans="2:6">
      <c r="B38" t="s">
        <v>161</v>
      </c>
      <c r="C38" s="169">
        <v>-3000</v>
      </c>
      <c r="D38" s="3">
        <v>45051</v>
      </c>
      <c r="E38" s="168">
        <v>45017</v>
      </c>
    </row>
    <row r="39" spans="2:6">
      <c r="B39" t="s">
        <v>18</v>
      </c>
      <c r="C39" s="169">
        <v>-3000</v>
      </c>
      <c r="D39" s="3">
        <v>45051</v>
      </c>
      <c r="E39" s="168">
        <v>45017</v>
      </c>
    </row>
    <row r="40" spans="2:6">
      <c r="B40" t="s">
        <v>19</v>
      </c>
      <c r="C40" s="169">
        <v>-1200</v>
      </c>
      <c r="D40" s="3">
        <v>45051</v>
      </c>
      <c r="E40" s="168">
        <v>45017</v>
      </c>
    </row>
    <row r="41" spans="2:6">
      <c r="B41" t="s">
        <v>25</v>
      </c>
      <c r="C41" s="169">
        <v>-13000</v>
      </c>
      <c r="D41" s="3">
        <v>45051</v>
      </c>
      <c r="E41" s="168">
        <v>45017</v>
      </c>
    </row>
    <row r="42" spans="2:6">
      <c r="B42" t="s">
        <v>225</v>
      </c>
      <c r="C42" s="169">
        <v>-1184</v>
      </c>
      <c r="D42" s="3">
        <v>45068</v>
      </c>
      <c r="E42" s="168">
        <v>45017</v>
      </c>
      <c r="F42" s="214">
        <f>C42/16</f>
        <v>-74</v>
      </c>
    </row>
    <row r="43" spans="2:6">
      <c r="B43" t="s">
        <v>188</v>
      </c>
      <c r="C43" s="169">
        <v>-18000</v>
      </c>
      <c r="D43" s="3">
        <v>45051</v>
      </c>
      <c r="E43" s="168">
        <v>45017</v>
      </c>
      <c r="F43" s="215"/>
    </row>
    <row r="44" spans="2:6">
      <c r="B44" t="s">
        <v>189</v>
      </c>
      <c r="C44" s="169">
        <v>-9000</v>
      </c>
      <c r="D44" s="3">
        <v>45051</v>
      </c>
      <c r="E44" s="168">
        <v>45017</v>
      </c>
    </row>
    <row r="45" spans="2:6">
      <c r="B45" t="s">
        <v>239</v>
      </c>
      <c r="C45" s="169">
        <v>-9500</v>
      </c>
      <c r="D45" s="3">
        <v>45051</v>
      </c>
      <c r="E45" s="168">
        <v>45017</v>
      </c>
    </row>
    <row r="46" spans="2:6">
      <c r="B46" t="s">
        <v>190</v>
      </c>
      <c r="C46" s="169">
        <v>-9500</v>
      </c>
      <c r="D46" s="3">
        <v>45051</v>
      </c>
      <c r="E46" s="168">
        <v>45017</v>
      </c>
    </row>
    <row r="47" spans="2:6">
      <c r="B47" t="s">
        <v>226</v>
      </c>
      <c r="C47" s="169">
        <v>-381</v>
      </c>
      <c r="D47" s="3">
        <v>45068</v>
      </c>
      <c r="E47" s="168">
        <v>45017</v>
      </c>
    </row>
    <row r="48" spans="2:6">
      <c r="B48" t="s">
        <v>220</v>
      </c>
      <c r="C48" s="169">
        <v>-400</v>
      </c>
      <c r="D48" s="3">
        <v>45065</v>
      </c>
      <c r="E48" s="168">
        <v>45017</v>
      </c>
    </row>
    <row r="49" spans="2:11">
      <c r="B49" t="s">
        <v>221</v>
      </c>
      <c r="C49" s="169">
        <v>-400</v>
      </c>
      <c r="D49" s="3">
        <v>45065</v>
      </c>
      <c r="E49" s="168">
        <v>45017</v>
      </c>
    </row>
    <row r="50" spans="2:11">
      <c r="B50" t="s">
        <v>222</v>
      </c>
      <c r="C50" s="169">
        <v>-500</v>
      </c>
      <c r="D50" s="3">
        <v>45065</v>
      </c>
      <c r="E50" s="168">
        <v>45017</v>
      </c>
    </row>
    <row r="51" spans="2:11">
      <c r="B51" t="s">
        <v>163</v>
      </c>
      <c r="C51" s="169">
        <f>'DRE ORLA 2023'!D13</f>
        <v>-208.80000000000018</v>
      </c>
      <c r="D51" s="3">
        <v>45065</v>
      </c>
      <c r="E51" s="168">
        <v>45017</v>
      </c>
    </row>
    <row r="52" spans="2:11">
      <c r="B52" t="s">
        <v>176</v>
      </c>
      <c r="C52" s="169">
        <f>'DRE ORLA 2023'!F12-'DRE ORLA 2023'!D13</f>
        <v>-2976.3840000000055</v>
      </c>
      <c r="D52" s="3">
        <v>45065</v>
      </c>
      <c r="E52" s="168">
        <v>45017</v>
      </c>
    </row>
    <row r="53" spans="2:11">
      <c r="B53" t="s">
        <v>165</v>
      </c>
      <c r="C53" s="169">
        <v>-148.5</v>
      </c>
      <c r="D53" s="3">
        <v>45065</v>
      </c>
      <c r="E53" s="168">
        <v>45017</v>
      </c>
    </row>
    <row r="54" spans="2:11">
      <c r="B54" t="s">
        <v>177</v>
      </c>
      <c r="C54" s="169">
        <v>-148.5</v>
      </c>
      <c r="D54" s="3">
        <v>45065</v>
      </c>
      <c r="E54" s="168">
        <v>45017</v>
      </c>
    </row>
    <row r="55" spans="2:11">
      <c r="B55" t="s">
        <v>178</v>
      </c>
      <c r="C55" s="169">
        <v>-148.5</v>
      </c>
      <c r="D55" s="3">
        <v>45065</v>
      </c>
      <c r="E55" s="168">
        <v>45017</v>
      </c>
    </row>
    <row r="56" spans="2:11">
      <c r="B56" t="s">
        <v>179</v>
      </c>
      <c r="C56" s="169">
        <v>-450</v>
      </c>
      <c r="D56" s="3">
        <v>45065</v>
      </c>
      <c r="E56" s="168">
        <v>45017</v>
      </c>
    </row>
    <row r="57" spans="2:11">
      <c r="B57" t="s">
        <v>180</v>
      </c>
      <c r="C57" s="169">
        <v>-450</v>
      </c>
      <c r="D57" s="3">
        <v>45065</v>
      </c>
      <c r="E57" s="168">
        <v>45017</v>
      </c>
      <c r="K57" s="5"/>
    </row>
    <row r="58" spans="2:11">
      <c r="B58" t="s">
        <v>166</v>
      </c>
      <c r="C58" s="169">
        <f>'DRE ORLA 2023'!E65</f>
        <v>-90</v>
      </c>
      <c r="D58" s="3">
        <v>45065</v>
      </c>
      <c r="E58" s="168">
        <v>45017</v>
      </c>
      <c r="K58" s="5"/>
    </row>
    <row r="59" spans="2:11">
      <c r="B59" t="s">
        <v>181</v>
      </c>
      <c r="C59" s="169">
        <f>'DRE ORLA 2023'!F48</f>
        <v>-59.5</v>
      </c>
      <c r="D59" s="3">
        <v>45051</v>
      </c>
      <c r="E59" s="168">
        <v>45017</v>
      </c>
    </row>
    <row r="60" spans="2:11">
      <c r="B60" t="s">
        <v>167</v>
      </c>
      <c r="C60" s="169">
        <v>-3106.48</v>
      </c>
      <c r="D60" s="3">
        <v>45051</v>
      </c>
      <c r="E60" s="168">
        <v>45017</v>
      </c>
      <c r="K60" s="6"/>
    </row>
    <row r="61" spans="2:11">
      <c r="B61" t="s">
        <v>74</v>
      </c>
      <c r="C61" s="169">
        <f>-LPs!C32</f>
        <v>0</v>
      </c>
      <c r="D61" s="3">
        <v>45065</v>
      </c>
      <c r="E61" s="168">
        <v>45017</v>
      </c>
      <c r="K61" s="6"/>
    </row>
    <row r="62" spans="2:11">
      <c r="B62" t="s">
        <v>168</v>
      </c>
      <c r="C62" s="169">
        <f>'DRE ORLA 2023'!F68</f>
        <v>-422</v>
      </c>
      <c r="D62" s="3">
        <v>45065</v>
      </c>
      <c r="E62" s="168">
        <v>45017</v>
      </c>
      <c r="K62" s="196"/>
    </row>
    <row r="63" spans="2:11">
      <c r="B63" t="s">
        <v>170</v>
      </c>
      <c r="C63" s="169">
        <f>'DRE ORLA 2023'!F69</f>
        <v>-8905.48</v>
      </c>
      <c r="D63" s="3">
        <v>45065</v>
      </c>
      <c r="E63" s="168">
        <v>45017</v>
      </c>
      <c r="K63" s="5"/>
    </row>
    <row r="64" spans="2:11">
      <c r="B64" t="s">
        <v>171</v>
      </c>
      <c r="C64" s="169">
        <f>'DRE ORLA 2023'!F70</f>
        <v>-5393</v>
      </c>
      <c r="D64" s="3">
        <v>45065</v>
      </c>
      <c r="E64" s="168">
        <v>45017</v>
      </c>
      <c r="K64" s="5"/>
    </row>
    <row r="65" spans="2:12">
      <c r="B65" t="s">
        <v>159</v>
      </c>
      <c r="C65" s="169">
        <v>-10000</v>
      </c>
      <c r="D65" s="3">
        <v>45082</v>
      </c>
      <c r="E65" s="168">
        <v>45047</v>
      </c>
      <c r="K65" s="6"/>
      <c r="L65" s="6"/>
    </row>
    <row r="66" spans="2:12">
      <c r="B66" t="s">
        <v>256</v>
      </c>
      <c r="C66" s="169">
        <f>-13*60</f>
        <v>-780</v>
      </c>
      <c r="D66" s="3">
        <v>45097</v>
      </c>
      <c r="E66" s="168">
        <v>45047</v>
      </c>
      <c r="K66" s="6"/>
      <c r="L66" s="6"/>
    </row>
    <row r="67" spans="2:12">
      <c r="B67" t="s">
        <v>161</v>
      </c>
      <c r="C67" s="169">
        <v>-5000</v>
      </c>
      <c r="D67" s="3">
        <v>45082</v>
      </c>
      <c r="E67" s="168">
        <v>45047</v>
      </c>
    </row>
    <row r="68" spans="2:12">
      <c r="B68" t="s">
        <v>18</v>
      </c>
      <c r="C68" s="169">
        <v>-3000</v>
      </c>
      <c r="D68" s="3">
        <v>45082</v>
      </c>
      <c r="E68" s="168">
        <v>45047</v>
      </c>
    </row>
    <row r="69" spans="2:12">
      <c r="B69" t="s">
        <v>19</v>
      </c>
      <c r="C69" s="169">
        <v>-1200</v>
      </c>
      <c r="D69" s="3">
        <v>45082</v>
      </c>
      <c r="E69" s="168">
        <v>45047</v>
      </c>
      <c r="H69" s="169"/>
    </row>
    <row r="70" spans="2:12">
      <c r="B70" t="s">
        <v>25</v>
      </c>
      <c r="C70" s="169">
        <v>-13000</v>
      </c>
      <c r="D70" s="3">
        <v>45082</v>
      </c>
      <c r="E70" s="168">
        <v>45047</v>
      </c>
      <c r="H70" s="169"/>
    </row>
    <row r="71" spans="2:12">
      <c r="B71" t="s">
        <v>225</v>
      </c>
      <c r="C71" s="169">
        <v>-378</v>
      </c>
      <c r="D71" s="3">
        <v>45097</v>
      </c>
      <c r="E71" s="168">
        <v>45047</v>
      </c>
    </row>
    <row r="72" spans="2:12">
      <c r="B72" t="s">
        <v>188</v>
      </c>
      <c r="C72" s="169">
        <v>-18000</v>
      </c>
      <c r="D72" s="3">
        <v>45082</v>
      </c>
      <c r="E72" s="168">
        <v>45047</v>
      </c>
    </row>
    <row r="73" spans="2:12">
      <c r="B73" t="s">
        <v>189</v>
      </c>
      <c r="C73" s="169">
        <v>-9000</v>
      </c>
      <c r="D73" s="3">
        <v>45082</v>
      </c>
      <c r="E73" s="168">
        <v>45047</v>
      </c>
      <c r="H73" s="173"/>
    </row>
    <row r="74" spans="2:12">
      <c r="B74" t="s">
        <v>239</v>
      </c>
      <c r="C74" s="169">
        <v>-9500</v>
      </c>
      <c r="D74" s="3">
        <v>45082</v>
      </c>
      <c r="E74" s="168">
        <v>45047</v>
      </c>
    </row>
    <row r="75" spans="2:12">
      <c r="B75" t="s">
        <v>21</v>
      </c>
      <c r="C75" s="169">
        <v>-9500</v>
      </c>
      <c r="D75" s="3">
        <v>45082</v>
      </c>
      <c r="E75" s="168">
        <v>45047</v>
      </c>
      <c r="H75" s="133"/>
    </row>
    <row r="76" spans="2:12">
      <c r="B76" t="s">
        <v>235</v>
      </c>
      <c r="C76" s="169">
        <v>-6500</v>
      </c>
      <c r="D76" s="3">
        <v>45082</v>
      </c>
      <c r="E76" s="168">
        <v>45047</v>
      </c>
      <c r="H76" s="133"/>
    </row>
    <row r="77" spans="2:12">
      <c r="B77" t="s">
        <v>228</v>
      </c>
      <c r="C77" s="169">
        <f>-3429-1000</f>
        <v>-4429</v>
      </c>
      <c r="D77" s="3">
        <v>45082</v>
      </c>
      <c r="E77" s="168">
        <v>45047</v>
      </c>
      <c r="H77" s="133"/>
    </row>
    <row r="78" spans="2:12">
      <c r="B78" t="s">
        <v>240</v>
      </c>
      <c r="C78" s="169">
        <v>-343</v>
      </c>
      <c r="D78" s="3">
        <v>45082</v>
      </c>
      <c r="E78" s="168">
        <v>45047</v>
      </c>
      <c r="H78" s="133"/>
    </row>
    <row r="79" spans="2:12">
      <c r="B79" t="s">
        <v>231</v>
      </c>
      <c r="C79" s="169">
        <v>-15000</v>
      </c>
      <c r="D79" s="3">
        <v>45097</v>
      </c>
      <c r="E79" s="168">
        <v>45047</v>
      </c>
      <c r="H79" s="133"/>
    </row>
    <row r="80" spans="2:12">
      <c r="B80" t="s">
        <v>220</v>
      </c>
      <c r="C80" s="169">
        <v>-400</v>
      </c>
      <c r="D80" s="3">
        <v>45097</v>
      </c>
      <c r="E80" s="168">
        <v>45047</v>
      </c>
    </row>
    <row r="81" spans="2:5">
      <c r="B81" t="s">
        <v>163</v>
      </c>
      <c r="C81" s="169">
        <v>10375.68</v>
      </c>
      <c r="D81" s="3">
        <v>45097</v>
      </c>
      <c r="E81" s="168">
        <v>45047</v>
      </c>
    </row>
    <row r="82" spans="2:5">
      <c r="B82" t="s">
        <v>176</v>
      </c>
      <c r="C82" s="169">
        <v>-8551.73</v>
      </c>
      <c r="D82" s="3">
        <v>45097</v>
      </c>
      <c r="E82" s="168">
        <v>45047</v>
      </c>
    </row>
    <row r="83" spans="2:5">
      <c r="B83" t="s">
        <v>269</v>
      </c>
      <c r="C83" s="169">
        <v>-206.68</v>
      </c>
      <c r="D83" s="3">
        <v>45097</v>
      </c>
      <c r="E83" s="168">
        <v>45047</v>
      </c>
    </row>
    <row r="84" spans="2:5">
      <c r="B84" t="s">
        <v>270</v>
      </c>
      <c r="C84" s="169">
        <v>-236.98</v>
      </c>
      <c r="D84" s="3">
        <v>45097</v>
      </c>
      <c r="E84" s="168">
        <v>45047</v>
      </c>
    </row>
    <row r="85" spans="2:5">
      <c r="B85" t="s">
        <v>165</v>
      </c>
      <c r="C85" s="169">
        <v>-148.5</v>
      </c>
      <c r="D85" s="3">
        <v>45097</v>
      </c>
      <c r="E85" s="168">
        <v>45047</v>
      </c>
    </row>
    <row r="86" spans="2:5">
      <c r="B86" t="s">
        <v>177</v>
      </c>
      <c r="C86" s="169">
        <v>-148.5</v>
      </c>
      <c r="D86" s="3">
        <v>45097</v>
      </c>
      <c r="E86" s="168">
        <v>45047</v>
      </c>
    </row>
    <row r="87" spans="2:5">
      <c r="B87" t="s">
        <v>178</v>
      </c>
      <c r="C87" s="169">
        <v>-148.5</v>
      </c>
      <c r="D87" s="3">
        <v>45097</v>
      </c>
      <c r="E87" s="168">
        <v>45047</v>
      </c>
    </row>
    <row r="88" spans="2:5">
      <c r="B88" t="s">
        <v>179</v>
      </c>
      <c r="C88" s="169">
        <v>-450</v>
      </c>
      <c r="D88" s="3">
        <v>45097</v>
      </c>
      <c r="E88" s="168">
        <v>45047</v>
      </c>
    </row>
    <row r="89" spans="2:5">
      <c r="B89" t="s">
        <v>180</v>
      </c>
      <c r="C89" s="169">
        <v>-450</v>
      </c>
      <c r="D89" s="3">
        <v>45097</v>
      </c>
      <c r="E89" s="168">
        <v>45047</v>
      </c>
    </row>
    <row r="90" spans="2:5">
      <c r="B90" t="s">
        <v>166</v>
      </c>
      <c r="C90" s="169">
        <v>-90</v>
      </c>
      <c r="D90" s="3">
        <v>45097</v>
      </c>
      <c r="E90" s="168">
        <v>45047</v>
      </c>
    </row>
    <row r="91" spans="2:5">
      <c r="B91" t="s">
        <v>181</v>
      </c>
      <c r="C91" s="169">
        <f>-51-39</f>
        <v>-90</v>
      </c>
      <c r="D91" s="3">
        <v>45082</v>
      </c>
      <c r="E91" s="168">
        <v>45047</v>
      </c>
    </row>
    <row r="92" spans="2:5">
      <c r="B92" t="s">
        <v>167</v>
      </c>
      <c r="C92" s="169">
        <v>-4688.05</v>
      </c>
      <c r="D92" s="3">
        <v>45085</v>
      </c>
      <c r="E92" s="168">
        <v>45047</v>
      </c>
    </row>
    <row r="93" spans="2:5">
      <c r="B93" t="s">
        <v>168</v>
      </c>
      <c r="C93" s="204">
        <f>REEMBOLSO!G23</f>
        <v>-1537.23</v>
      </c>
      <c r="D93" s="3">
        <v>45097</v>
      </c>
      <c r="E93" s="168">
        <v>45047</v>
      </c>
    </row>
    <row r="94" spans="2:5">
      <c r="B94" t="s">
        <v>170</v>
      </c>
      <c r="C94" s="169">
        <f>REEMBOLSO!G61+REEMBOLSO!G34</f>
        <v>-10997.22</v>
      </c>
      <c r="D94" s="3">
        <v>45097</v>
      </c>
      <c r="E94" s="168">
        <v>45047</v>
      </c>
    </row>
    <row r="95" spans="2:5">
      <c r="B95" t="s">
        <v>171</v>
      </c>
      <c r="C95" s="169">
        <f>REEMBOLSO!G3+REEMBOLSO!G52</f>
        <v>-9777.2799999999988</v>
      </c>
      <c r="D95" s="3">
        <v>45097</v>
      </c>
      <c r="E95" s="168">
        <v>45047</v>
      </c>
    </row>
    <row r="96" spans="2:5">
      <c r="B96" t="s">
        <v>237</v>
      </c>
      <c r="C96" s="169">
        <f>-85.09-13.92-13.47-93.85</f>
        <v>-206.32999999999998</v>
      </c>
      <c r="D96" s="3">
        <v>45082</v>
      </c>
      <c r="E96" s="168">
        <v>45047</v>
      </c>
    </row>
    <row r="97" spans="2:5">
      <c r="B97" t="s">
        <v>252</v>
      </c>
      <c r="C97" s="169">
        <v>-1700</v>
      </c>
      <c r="D97" s="3">
        <v>45078</v>
      </c>
      <c r="E97" s="168">
        <v>45047</v>
      </c>
    </row>
    <row r="98" spans="2:5">
      <c r="B98" t="s">
        <v>172</v>
      </c>
      <c r="C98" s="5">
        <f>'DRE ORLA 2023'!G73-'DRE ORLA 2023'!G87-'DRE ORLA 2023'!G88</f>
        <v>-17063.260000000002</v>
      </c>
      <c r="D98" s="3">
        <v>45097</v>
      </c>
      <c r="E98" s="168">
        <v>45047</v>
      </c>
    </row>
    <row r="99" spans="2:5">
      <c r="B99" t="s">
        <v>267</v>
      </c>
      <c r="C99" s="5">
        <f>'DRE ORLA 2023'!G74</f>
        <v>-15117.26</v>
      </c>
      <c r="D99" s="3">
        <v>45097</v>
      </c>
      <c r="E99" s="168">
        <v>45047</v>
      </c>
    </row>
    <row r="100" spans="2:5">
      <c r="B100" t="s">
        <v>266</v>
      </c>
      <c r="C100" s="5">
        <f>'DRE ORLA 2023'!G75-'DRE ORLA 2023'!G89</f>
        <v>-16027.76</v>
      </c>
      <c r="D100" s="3">
        <v>45097</v>
      </c>
      <c r="E100" s="168">
        <v>45047</v>
      </c>
    </row>
    <row r="101" spans="2:5">
      <c r="B101" t="s">
        <v>243</v>
      </c>
      <c r="C101" s="5">
        <v>-2100</v>
      </c>
      <c r="D101" s="3">
        <v>45097</v>
      </c>
      <c r="E101" s="168">
        <v>45047</v>
      </c>
    </row>
    <row r="102" spans="2:5">
      <c r="B102" t="s">
        <v>277</v>
      </c>
      <c r="C102" s="5">
        <v>-157.5</v>
      </c>
      <c r="D102" s="3">
        <v>45098</v>
      </c>
      <c r="E102" s="168">
        <v>45047</v>
      </c>
    </row>
    <row r="103" spans="2:5">
      <c r="B103" t="s">
        <v>278</v>
      </c>
      <c r="C103" s="5">
        <v>-300</v>
      </c>
      <c r="D103" s="3">
        <v>45098</v>
      </c>
      <c r="E103" s="168">
        <v>45047</v>
      </c>
    </row>
    <row r="104" spans="2:5">
      <c r="B104" t="s">
        <v>8</v>
      </c>
      <c r="C104" s="5">
        <v>-10000</v>
      </c>
      <c r="D104" s="3">
        <v>45112</v>
      </c>
      <c r="E104" s="168">
        <v>45078</v>
      </c>
    </row>
    <row r="105" spans="2:5">
      <c r="B105" t="s">
        <v>11</v>
      </c>
      <c r="C105" s="5">
        <v>-5000</v>
      </c>
      <c r="D105" s="3">
        <v>45112</v>
      </c>
      <c r="E105" s="168">
        <v>45078</v>
      </c>
    </row>
    <row r="106" spans="2:5">
      <c r="B106" t="s">
        <v>14</v>
      </c>
      <c r="C106" s="5">
        <v>-18000</v>
      </c>
      <c r="D106" s="3">
        <v>45112</v>
      </c>
      <c r="E106" s="168">
        <v>45078</v>
      </c>
    </row>
    <row r="107" spans="2:5">
      <c r="B107" t="s">
        <v>18</v>
      </c>
      <c r="C107" s="5">
        <v>-3000</v>
      </c>
      <c r="D107" s="3">
        <v>45112</v>
      </c>
      <c r="E107" s="168">
        <v>45078</v>
      </c>
    </row>
    <row r="108" spans="2:5">
      <c r="B108" t="s">
        <v>19</v>
      </c>
      <c r="C108" s="5">
        <v>-1200</v>
      </c>
      <c r="D108" s="3">
        <v>45112</v>
      </c>
      <c r="E108" s="168">
        <v>45078</v>
      </c>
    </row>
    <row r="109" spans="2:5">
      <c r="B109" t="s">
        <v>21</v>
      </c>
      <c r="C109" s="5">
        <v>-9500</v>
      </c>
      <c r="D109" s="3">
        <v>45112</v>
      </c>
      <c r="E109" s="168">
        <v>45078</v>
      </c>
    </row>
    <row r="110" spans="2:5">
      <c r="B110" s="216" t="s">
        <v>23</v>
      </c>
      <c r="C110" s="5">
        <v>-5714.2857142857101</v>
      </c>
      <c r="D110" s="3">
        <v>45110</v>
      </c>
      <c r="E110" s="168">
        <v>45078</v>
      </c>
    </row>
    <row r="111" spans="2:5">
      <c r="B111" t="s">
        <v>24</v>
      </c>
      <c r="C111" s="5">
        <v>-9000</v>
      </c>
      <c r="D111" s="3">
        <v>45112</v>
      </c>
      <c r="E111" s="168">
        <v>45078</v>
      </c>
    </row>
    <row r="112" spans="2:5">
      <c r="B112" t="s">
        <v>227</v>
      </c>
      <c r="C112" s="5">
        <v>-6500</v>
      </c>
      <c r="D112" s="3">
        <v>45112</v>
      </c>
      <c r="E112" s="168">
        <v>45078</v>
      </c>
    </row>
    <row r="113" spans="2:8">
      <c r="B113" t="s">
        <v>316</v>
      </c>
      <c r="C113" s="5"/>
      <c r="D113" s="3"/>
      <c r="E113" s="168"/>
    </row>
    <row r="114" spans="2:8">
      <c r="B114" t="s">
        <v>228</v>
      </c>
      <c r="C114" s="5">
        <v>-10000</v>
      </c>
      <c r="D114" s="3">
        <v>45112</v>
      </c>
      <c r="E114" s="168">
        <v>45078</v>
      </c>
    </row>
    <row r="115" spans="2:8">
      <c r="B115" t="s">
        <v>25</v>
      </c>
      <c r="C115" s="5">
        <v>-13000</v>
      </c>
      <c r="D115" s="3">
        <v>45112</v>
      </c>
      <c r="E115" s="168">
        <v>45078</v>
      </c>
    </row>
    <row r="116" spans="2:8">
      <c r="B116" t="s">
        <v>225</v>
      </c>
      <c r="C116" s="5">
        <v>-288</v>
      </c>
      <c r="D116" s="3">
        <v>45127</v>
      </c>
      <c r="E116" s="168">
        <v>45078</v>
      </c>
    </row>
    <row r="117" spans="2:8">
      <c r="B117" t="s">
        <v>236</v>
      </c>
      <c r="C117" s="5">
        <v>-1200</v>
      </c>
      <c r="D117" s="3">
        <v>45112</v>
      </c>
      <c r="E117" s="168">
        <v>45078</v>
      </c>
    </row>
    <row r="118" spans="2:8">
      <c r="B118" t="s">
        <v>233</v>
      </c>
      <c r="C118" s="5">
        <v>-8850</v>
      </c>
      <c r="D118" s="3">
        <v>45112</v>
      </c>
      <c r="E118" s="168">
        <v>45078</v>
      </c>
    </row>
    <row r="119" spans="2:8">
      <c r="B119" t="s">
        <v>231</v>
      </c>
      <c r="C119" s="5">
        <v>-15000</v>
      </c>
      <c r="D119" s="3">
        <v>45112</v>
      </c>
      <c r="E119" s="168">
        <v>45078</v>
      </c>
    </row>
    <row r="120" spans="2:8">
      <c r="B120" s="216" t="s">
        <v>253</v>
      </c>
      <c r="C120" s="5">
        <v>-7857.1428571428596</v>
      </c>
      <c r="D120" s="3">
        <v>45112</v>
      </c>
      <c r="E120" s="168">
        <v>45078</v>
      </c>
    </row>
    <row r="121" spans="2:8">
      <c r="B121" t="s">
        <v>300</v>
      </c>
      <c r="C121" s="5" t="s">
        <v>311</v>
      </c>
      <c r="D121" s="3">
        <v>45112</v>
      </c>
      <c r="E121" s="168">
        <v>45078</v>
      </c>
    </row>
    <row r="122" spans="2:8">
      <c r="B122" t="s">
        <v>304</v>
      </c>
      <c r="C122" s="5" t="s">
        <v>311</v>
      </c>
      <c r="D122" s="3">
        <v>45112</v>
      </c>
      <c r="E122" s="168">
        <v>45078</v>
      </c>
    </row>
    <row r="123" spans="2:8">
      <c r="B123" t="s">
        <v>331</v>
      </c>
      <c r="C123" s="5">
        <v>-1500</v>
      </c>
      <c r="D123" s="3">
        <v>45112</v>
      </c>
      <c r="E123" s="168">
        <v>45078</v>
      </c>
    </row>
    <row r="124" spans="2:8">
      <c r="B124" t="s">
        <v>302</v>
      </c>
      <c r="C124" s="5" t="s">
        <v>311</v>
      </c>
      <c r="D124" s="3">
        <v>45112</v>
      </c>
      <c r="E124" s="168">
        <v>45078</v>
      </c>
    </row>
    <row r="125" spans="2:8">
      <c r="B125" s="216" t="s">
        <v>303</v>
      </c>
      <c r="C125" s="5">
        <v>-2857.1428571428601</v>
      </c>
      <c r="D125" s="3">
        <v>45112</v>
      </c>
      <c r="E125" s="168">
        <v>45078</v>
      </c>
      <c r="H125">
        <v>78.12</v>
      </c>
    </row>
    <row r="126" spans="2:8">
      <c r="B126" s="216" t="s">
        <v>305</v>
      </c>
      <c r="C126" s="5">
        <v>-5714.29</v>
      </c>
      <c r="D126" s="3">
        <v>45112</v>
      </c>
      <c r="E126" s="168">
        <v>45078</v>
      </c>
      <c r="H126">
        <v>4042.64</v>
      </c>
    </row>
    <row r="127" spans="2:8">
      <c r="B127" s="216" t="s">
        <v>332</v>
      </c>
      <c r="C127" s="5">
        <v>-3750</v>
      </c>
      <c r="D127" s="3">
        <v>45113</v>
      </c>
      <c r="E127" s="168">
        <v>45078</v>
      </c>
      <c r="H127">
        <f>SUM(H125:H126)</f>
        <v>4120.76</v>
      </c>
    </row>
    <row r="128" spans="2:8">
      <c r="B128" t="s">
        <v>220</v>
      </c>
      <c r="C128" s="5">
        <v>-400</v>
      </c>
      <c r="D128" s="3">
        <v>45127</v>
      </c>
      <c r="E128" s="168">
        <v>45078</v>
      </c>
    </row>
    <row r="129" spans="2:5">
      <c r="B129" t="s">
        <v>163</v>
      </c>
      <c r="C129" s="5">
        <v>-30281.21</v>
      </c>
      <c r="D129" s="3">
        <v>45127</v>
      </c>
      <c r="E129" s="168">
        <v>45078</v>
      </c>
    </row>
    <row r="130" spans="2:5">
      <c r="B130" t="s">
        <v>176</v>
      </c>
      <c r="C130" s="5">
        <v>-7905.97</v>
      </c>
      <c r="D130" s="3">
        <v>45127</v>
      </c>
      <c r="E130" s="168">
        <v>45078</v>
      </c>
    </row>
    <row r="131" spans="2:5">
      <c r="B131" t="s">
        <v>334</v>
      </c>
      <c r="C131" s="5">
        <v>-1000</v>
      </c>
      <c r="D131" s="3">
        <v>45127</v>
      </c>
      <c r="E131" s="168">
        <v>45078</v>
      </c>
    </row>
    <row r="132" spans="2:5">
      <c r="B132" t="s">
        <v>335</v>
      </c>
      <c r="C132" s="5">
        <v>-4120.76</v>
      </c>
      <c r="D132" s="3">
        <v>45127</v>
      </c>
      <c r="E132" s="168">
        <v>45078</v>
      </c>
    </row>
    <row r="133" spans="2:5">
      <c r="B133" t="s">
        <v>165</v>
      </c>
      <c r="C133" s="5">
        <v>-150</v>
      </c>
      <c r="D133" s="3">
        <v>45127</v>
      </c>
      <c r="E133" s="168">
        <v>45078</v>
      </c>
    </row>
    <row r="134" spans="2:5">
      <c r="B134" t="s">
        <v>177</v>
      </c>
      <c r="C134" s="5">
        <v>-150</v>
      </c>
      <c r="D134" s="3">
        <v>45127</v>
      </c>
      <c r="E134" s="168">
        <v>45078</v>
      </c>
    </row>
    <row r="135" spans="2:5">
      <c r="B135" t="s">
        <v>178</v>
      </c>
      <c r="C135" s="5">
        <v>-150</v>
      </c>
      <c r="D135" s="3">
        <v>45127</v>
      </c>
      <c r="E135" s="168">
        <v>45078</v>
      </c>
    </row>
    <row r="136" spans="2:5">
      <c r="B136" t="s">
        <v>179</v>
      </c>
      <c r="C136" s="5">
        <v>-450</v>
      </c>
      <c r="D136" s="3">
        <v>45127</v>
      </c>
      <c r="E136" s="168">
        <v>45078</v>
      </c>
    </row>
    <row r="137" spans="2:5">
      <c r="B137" t="s">
        <v>180</v>
      </c>
      <c r="C137" s="5">
        <v>-450</v>
      </c>
      <c r="D137" s="3">
        <v>45127</v>
      </c>
      <c r="E137" s="168">
        <v>45078</v>
      </c>
    </row>
    <row r="138" spans="2:5">
      <c r="B138" t="s">
        <v>166</v>
      </c>
      <c r="C138" s="5">
        <v>-90</v>
      </c>
      <c r="D138" s="3">
        <v>45127</v>
      </c>
      <c r="E138" s="168">
        <v>45078</v>
      </c>
    </row>
    <row r="139" spans="2:5">
      <c r="B139" t="s">
        <v>181</v>
      </c>
      <c r="C139" s="5">
        <v>-39</v>
      </c>
      <c r="D139" s="3">
        <v>45110</v>
      </c>
      <c r="E139" s="168">
        <v>45078</v>
      </c>
    </row>
    <row r="140" spans="2:5">
      <c r="B140" t="s">
        <v>167</v>
      </c>
      <c r="C140" s="5">
        <v>-2127.27</v>
      </c>
      <c r="D140" s="3">
        <v>45130</v>
      </c>
      <c r="E140" s="168">
        <v>45078</v>
      </c>
    </row>
    <row r="141" spans="2:5">
      <c r="B141" t="s">
        <v>168</v>
      </c>
      <c r="C141" s="5">
        <f>REEMBOLSO!H58+REEMBOLSO!H23</f>
        <v>-3183</v>
      </c>
      <c r="D141" s="3">
        <v>45117</v>
      </c>
      <c r="E141" s="168">
        <v>45078</v>
      </c>
    </row>
    <row r="142" spans="2:5">
      <c r="B142" t="s">
        <v>170</v>
      </c>
      <c r="C142" s="5">
        <f>REEMBOLSO!H61+REEMBOLSO!H34</f>
        <v>-13868.779999999999</v>
      </c>
      <c r="D142" s="3">
        <v>45117</v>
      </c>
      <c r="E142" s="168">
        <v>45078</v>
      </c>
    </row>
    <row r="143" spans="2:5">
      <c r="B143" t="s">
        <v>171</v>
      </c>
      <c r="C143" s="5">
        <f>REEMBOLSO!H3+REEMBOLSO!H52</f>
        <v>-9345.0499999999993</v>
      </c>
      <c r="D143" s="3">
        <v>45117</v>
      </c>
      <c r="E143" s="168">
        <v>45078</v>
      </c>
    </row>
    <row r="144" spans="2:5">
      <c r="B144" t="s">
        <v>237</v>
      </c>
      <c r="C144" s="5"/>
      <c r="D144" s="3">
        <v>45127</v>
      </c>
      <c r="E144" s="168">
        <v>45078</v>
      </c>
    </row>
    <row r="145" spans="2:7">
      <c r="B145" t="s">
        <v>252</v>
      </c>
      <c r="C145" s="5"/>
      <c r="D145" s="3">
        <v>45127</v>
      </c>
      <c r="E145" s="168">
        <v>45078</v>
      </c>
    </row>
    <row r="146" spans="2:7">
      <c r="B146" t="s">
        <v>172</v>
      </c>
      <c r="C146" s="5">
        <f>'DRE ORLA 2023'!H73</f>
        <v>-16000</v>
      </c>
      <c r="D146" s="3">
        <v>45127</v>
      </c>
      <c r="E146" s="168">
        <v>45078</v>
      </c>
    </row>
    <row r="147" spans="2:7">
      <c r="B147" t="s">
        <v>267</v>
      </c>
      <c r="C147" s="5">
        <f>'DRE ORLA 2023'!H74</f>
        <v>-16000</v>
      </c>
      <c r="D147" s="3">
        <v>45127</v>
      </c>
      <c r="E147" s="168">
        <v>45078</v>
      </c>
    </row>
    <row r="148" spans="2:7">
      <c r="B148" t="s">
        <v>266</v>
      </c>
      <c r="C148" s="5">
        <f>'DRE ORLA 2023'!H75</f>
        <v>-14747.23</v>
      </c>
      <c r="D148" s="3">
        <v>45127</v>
      </c>
      <c r="E148" s="168">
        <v>45078</v>
      </c>
    </row>
    <row r="149" spans="2:7">
      <c r="B149" t="s">
        <v>243</v>
      </c>
      <c r="C149" s="5">
        <v>-2100</v>
      </c>
      <c r="D149" s="3">
        <v>45127</v>
      </c>
      <c r="E149" s="168">
        <v>45078</v>
      </c>
    </row>
    <row r="150" spans="2:7">
      <c r="B150" t="s">
        <v>277</v>
      </c>
      <c r="C150" s="5" t="s">
        <v>311</v>
      </c>
      <c r="D150" s="3">
        <v>45127</v>
      </c>
      <c r="E150" s="168">
        <v>45078</v>
      </c>
    </row>
    <row r="151" spans="2:7">
      <c r="B151" t="s">
        <v>278</v>
      </c>
      <c r="C151" s="5">
        <v>-600</v>
      </c>
      <c r="D151" s="3">
        <v>45127</v>
      </c>
      <c r="E151" s="168">
        <v>45078</v>
      </c>
    </row>
    <row r="152" spans="2:7">
      <c r="B152" t="s">
        <v>343</v>
      </c>
      <c r="C152" s="5">
        <v>-960.63</v>
      </c>
      <c r="D152" s="3">
        <v>45127</v>
      </c>
      <c r="E152" s="168">
        <v>45078</v>
      </c>
    </row>
    <row r="153" spans="2:7">
      <c r="B153" t="s">
        <v>342</v>
      </c>
      <c r="C153" s="5">
        <v>-72.22</v>
      </c>
      <c r="D153" s="3">
        <v>45127</v>
      </c>
      <c r="E153" s="168">
        <v>45078</v>
      </c>
      <c r="G153" t="s">
        <v>341</v>
      </c>
    </row>
    <row r="154" spans="2:7">
      <c r="B154" t="s">
        <v>340</v>
      </c>
      <c r="C154" s="5">
        <v>-48.8</v>
      </c>
      <c r="D154" s="3">
        <v>45127</v>
      </c>
      <c r="E154" s="168">
        <v>45078</v>
      </c>
    </row>
    <row r="155" spans="2:7">
      <c r="B155" t="s">
        <v>344</v>
      </c>
      <c r="C155" s="5">
        <v>-739.79</v>
      </c>
      <c r="D155" s="3">
        <v>45127</v>
      </c>
      <c r="E155" s="168">
        <v>45078</v>
      </c>
    </row>
    <row r="156" spans="2:7">
      <c r="B156" t="s">
        <v>345</v>
      </c>
      <c r="C156" s="5">
        <v>-3000</v>
      </c>
      <c r="D156" s="3">
        <v>45127</v>
      </c>
      <c r="E156" s="168">
        <v>45078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EC18-9249-0B4D-9AE7-34A6CDD0066A}">
  <dimension ref="B4:N33"/>
  <sheetViews>
    <sheetView zoomScale="130" zoomScaleNormal="130" workbookViewId="0">
      <selection activeCell="L30" sqref="L30"/>
    </sheetView>
  </sheetViews>
  <sheetFormatPr defaultColWidth="11" defaultRowHeight="15.75"/>
  <cols>
    <col min="2" max="2" width="12.875" bestFit="1" customWidth="1"/>
    <col min="3" max="3" width="20.5" bestFit="1" customWidth="1"/>
    <col min="4" max="4" width="12.875" bestFit="1" customWidth="1"/>
    <col min="5" max="6" width="11" bestFit="1" customWidth="1"/>
    <col min="7" max="7" width="12.875" bestFit="1" customWidth="1"/>
    <col min="8" max="8" width="25.375" bestFit="1" customWidth="1"/>
    <col min="9" max="9" width="15.5" bestFit="1" customWidth="1"/>
    <col min="10" max="10" width="12.875" bestFit="1" customWidth="1"/>
    <col min="11" max="11" width="11.875" bestFit="1" customWidth="1"/>
    <col min="12" max="13" width="14.375" bestFit="1" customWidth="1"/>
    <col min="14" max="14" width="9.5" bestFit="1" customWidth="1"/>
    <col min="15" max="16" width="10.125" bestFit="1" customWidth="1"/>
    <col min="17" max="17" width="11.375" bestFit="1" customWidth="1"/>
  </cols>
  <sheetData>
    <row r="4" spans="2:14">
      <c r="B4" s="177" t="s">
        <v>191</v>
      </c>
      <c r="C4" s="178" t="s">
        <v>199</v>
      </c>
      <c r="D4" s="178" t="s">
        <v>155</v>
      </c>
      <c r="E4" s="178" t="s">
        <v>198</v>
      </c>
      <c r="H4" s="171" t="s">
        <v>184</v>
      </c>
      <c r="I4" s="171" t="s">
        <v>185</v>
      </c>
    </row>
    <row r="5" spans="2:14">
      <c r="B5" s="2" t="s">
        <v>192</v>
      </c>
      <c r="C5" s="174" t="s">
        <v>200</v>
      </c>
      <c r="D5" s="176">
        <v>10820</v>
      </c>
      <c r="E5" s="175">
        <v>44927</v>
      </c>
      <c r="I5" t="s">
        <v>207</v>
      </c>
      <c r="J5" t="s">
        <v>208</v>
      </c>
      <c r="K5" t="s">
        <v>186</v>
      </c>
      <c r="L5" t="s">
        <v>187</v>
      </c>
      <c r="M5" t="s">
        <v>183</v>
      </c>
    </row>
    <row r="6" spans="2:14">
      <c r="B6" s="2" t="s">
        <v>192</v>
      </c>
      <c r="C6" s="174" t="s">
        <v>200</v>
      </c>
      <c r="D6" s="176">
        <v>7140</v>
      </c>
      <c r="E6" s="175">
        <v>44958</v>
      </c>
      <c r="H6" s="171" t="s">
        <v>182</v>
      </c>
    </row>
    <row r="7" spans="2:14">
      <c r="B7" s="2" t="s">
        <v>192</v>
      </c>
      <c r="C7" s="174" t="s">
        <v>200</v>
      </c>
      <c r="D7" s="176">
        <v>3480</v>
      </c>
      <c r="E7" s="175">
        <v>44986</v>
      </c>
      <c r="H7" s="172" t="s">
        <v>193</v>
      </c>
      <c r="I7" s="180"/>
      <c r="J7" s="180"/>
      <c r="K7" s="180"/>
      <c r="L7" s="180">
        <v>605808</v>
      </c>
      <c r="M7" s="180">
        <v>605808</v>
      </c>
      <c r="N7" s="7"/>
    </row>
    <row r="8" spans="2:14">
      <c r="B8" s="2" t="s">
        <v>193</v>
      </c>
      <c r="C8" s="174" t="s">
        <v>55</v>
      </c>
      <c r="D8" s="176">
        <v>605808</v>
      </c>
      <c r="E8" s="175">
        <v>45017</v>
      </c>
      <c r="H8" s="179" t="s">
        <v>55</v>
      </c>
      <c r="I8" s="180"/>
      <c r="J8" s="180"/>
      <c r="K8" s="180"/>
      <c r="L8" s="180">
        <v>605808</v>
      </c>
      <c r="M8" s="180">
        <v>605808</v>
      </c>
    </row>
    <row r="9" spans="2:14">
      <c r="B9" s="2" t="s">
        <v>194</v>
      </c>
      <c r="C9" s="174" t="s">
        <v>201</v>
      </c>
      <c r="D9" s="176">
        <v>469324.79999999999</v>
      </c>
      <c r="E9" s="175">
        <v>45017</v>
      </c>
      <c r="H9" s="172" t="s">
        <v>194</v>
      </c>
      <c r="I9" s="180"/>
      <c r="J9" s="180"/>
      <c r="K9" s="180"/>
      <c r="L9" s="180">
        <v>469324.79999999999</v>
      </c>
      <c r="M9" s="180">
        <v>469324.79999999999</v>
      </c>
      <c r="N9" s="7"/>
    </row>
    <row r="10" spans="2:14">
      <c r="B10" s="2" t="s">
        <v>195</v>
      </c>
      <c r="C10" s="174" t="s">
        <v>202</v>
      </c>
      <c r="D10" s="176">
        <v>210480</v>
      </c>
      <c r="E10" s="175">
        <v>44958</v>
      </c>
      <c r="H10" s="179" t="s">
        <v>201</v>
      </c>
      <c r="I10" s="180"/>
      <c r="J10" s="180"/>
      <c r="K10" s="180"/>
      <c r="L10" s="180">
        <v>469324.79999999999</v>
      </c>
      <c r="M10" s="180">
        <v>469324.79999999999</v>
      </c>
    </row>
    <row r="11" spans="2:14">
      <c r="B11" s="2" t="s">
        <v>195</v>
      </c>
      <c r="C11" s="174" t="s">
        <v>203</v>
      </c>
      <c r="D11" s="176">
        <v>77414.399999999994</v>
      </c>
      <c r="E11" s="175">
        <v>44986</v>
      </c>
      <c r="H11" s="172" t="s">
        <v>192</v>
      </c>
      <c r="I11" s="180">
        <v>10820</v>
      </c>
      <c r="J11" s="180">
        <v>7140</v>
      </c>
      <c r="K11" s="180">
        <v>3480</v>
      </c>
      <c r="L11" s="180"/>
      <c r="M11" s="180">
        <v>21440</v>
      </c>
      <c r="N11" s="7"/>
    </row>
    <row r="12" spans="2:14">
      <c r="B12" s="2" t="s">
        <v>195</v>
      </c>
      <c r="C12" s="174" t="s">
        <v>204</v>
      </c>
      <c r="D12" s="176">
        <v>11872</v>
      </c>
      <c r="E12" s="175">
        <v>45017</v>
      </c>
      <c r="H12" s="179" t="s">
        <v>200</v>
      </c>
      <c r="I12" s="180">
        <v>10820</v>
      </c>
      <c r="J12" s="180">
        <v>7140</v>
      </c>
      <c r="K12" s="180">
        <v>3480</v>
      </c>
      <c r="L12" s="180"/>
      <c r="M12" s="180">
        <v>21440</v>
      </c>
    </row>
    <row r="13" spans="2:14">
      <c r="B13" s="2" t="s">
        <v>69</v>
      </c>
      <c r="C13" s="174" t="s">
        <v>205</v>
      </c>
      <c r="D13" s="176">
        <v>14000</v>
      </c>
      <c r="E13" s="175">
        <v>45017</v>
      </c>
      <c r="H13" s="172" t="s">
        <v>69</v>
      </c>
      <c r="I13" s="180"/>
      <c r="J13" s="180"/>
      <c r="K13" s="180"/>
      <c r="L13" s="180">
        <v>14000</v>
      </c>
      <c r="M13" s="180">
        <v>14000</v>
      </c>
      <c r="N13" s="7"/>
    </row>
    <row r="14" spans="2:14">
      <c r="B14" s="2" t="s">
        <v>71</v>
      </c>
      <c r="C14" s="174" t="s">
        <v>205</v>
      </c>
      <c r="D14" s="176">
        <v>10000</v>
      </c>
      <c r="E14" s="175">
        <v>45017</v>
      </c>
      <c r="H14" s="179" t="s">
        <v>205</v>
      </c>
      <c r="I14" s="180"/>
      <c r="J14" s="180"/>
      <c r="K14" s="180"/>
      <c r="L14" s="180">
        <v>14000</v>
      </c>
      <c r="M14" s="180">
        <v>14000</v>
      </c>
    </row>
    <row r="15" spans="2:14">
      <c r="B15" s="2" t="s">
        <v>197</v>
      </c>
      <c r="C15" s="174" t="s">
        <v>206</v>
      </c>
      <c r="D15" s="176">
        <v>20000</v>
      </c>
      <c r="E15" s="175">
        <v>45017</v>
      </c>
      <c r="H15" s="172" t="s">
        <v>195</v>
      </c>
      <c r="I15" s="180"/>
      <c r="J15" s="180">
        <v>210480</v>
      </c>
      <c r="K15" s="180">
        <v>77414.399999999994</v>
      </c>
      <c r="L15" s="180">
        <v>11872</v>
      </c>
      <c r="M15" s="180">
        <v>299766.40000000002</v>
      </c>
      <c r="N15" s="7"/>
    </row>
    <row r="16" spans="2:14">
      <c r="H16" s="179" t="s">
        <v>203</v>
      </c>
      <c r="I16" s="180"/>
      <c r="J16" s="180"/>
      <c r="K16" s="180">
        <v>77414.399999999994</v>
      </c>
      <c r="L16" s="180"/>
      <c r="M16" s="180">
        <v>77414.399999999994</v>
      </c>
    </row>
    <row r="17" spans="8:13">
      <c r="H17" s="179" t="s">
        <v>204</v>
      </c>
      <c r="I17" s="180"/>
      <c r="J17" s="180"/>
      <c r="K17" s="180"/>
      <c r="L17" s="180">
        <v>11872</v>
      </c>
      <c r="M17" s="180">
        <v>11872</v>
      </c>
    </row>
    <row r="18" spans="8:13">
      <c r="H18" s="179" t="s">
        <v>202</v>
      </c>
      <c r="I18" s="180"/>
      <c r="J18" s="180">
        <v>210480</v>
      </c>
      <c r="K18" s="180"/>
      <c r="L18" s="180"/>
      <c r="M18" s="180">
        <v>210480</v>
      </c>
    </row>
    <row r="19" spans="8:13">
      <c r="H19" s="172" t="s">
        <v>197</v>
      </c>
      <c r="I19" s="180"/>
      <c r="J19" s="180"/>
      <c r="K19" s="180"/>
      <c r="L19" s="180">
        <v>20000</v>
      </c>
      <c r="M19" s="180">
        <v>20000</v>
      </c>
    </row>
    <row r="20" spans="8:13">
      <c r="H20" s="179" t="s">
        <v>206</v>
      </c>
      <c r="I20" s="180"/>
      <c r="J20" s="180"/>
      <c r="K20" s="180"/>
      <c r="L20" s="180">
        <v>20000</v>
      </c>
      <c r="M20" s="180">
        <v>20000</v>
      </c>
    </row>
    <row r="21" spans="8:13">
      <c r="H21" s="172" t="s">
        <v>71</v>
      </c>
      <c r="I21" s="180"/>
      <c r="J21" s="180"/>
      <c r="K21" s="180"/>
      <c r="L21" s="180">
        <v>10000</v>
      </c>
      <c r="M21" s="180">
        <v>10000</v>
      </c>
    </row>
    <row r="22" spans="8:13">
      <c r="H22" s="179" t="s">
        <v>205</v>
      </c>
      <c r="I22" s="180"/>
      <c r="J22" s="180"/>
      <c r="K22" s="180"/>
      <c r="L22" s="180">
        <v>10000</v>
      </c>
      <c r="M22" s="180">
        <v>10000</v>
      </c>
    </row>
    <row r="23" spans="8:13">
      <c r="H23" s="172" t="s">
        <v>183</v>
      </c>
      <c r="I23" s="180">
        <v>10820</v>
      </c>
      <c r="J23" s="180">
        <v>217620</v>
      </c>
      <c r="K23" s="180">
        <v>80894.399999999994</v>
      </c>
      <c r="L23" s="180">
        <v>1131004.8</v>
      </c>
      <c r="M23" s="180">
        <v>1440339.2</v>
      </c>
    </row>
    <row r="27" spans="8:13">
      <c r="H27" s="178" t="s">
        <v>209</v>
      </c>
      <c r="I27" s="178" t="s">
        <v>210</v>
      </c>
    </row>
    <row r="28" spans="8:13">
      <c r="H28" s="2" t="s">
        <v>192</v>
      </c>
      <c r="I28" s="181">
        <f>GETPIVOTDATA("Valor",$H$4,"Cliente","Cuponi")/GETPIVOTDATA("Valor",$H$4)</f>
        <v>1.4885382554331647E-2</v>
      </c>
      <c r="K28">
        <v>280</v>
      </c>
      <c r="L28">
        <v>168</v>
      </c>
      <c r="M28" s="5">
        <f>K28*L28</f>
        <v>47040</v>
      </c>
    </row>
    <row r="29" spans="8:13">
      <c r="H29" s="2" t="s">
        <v>193</v>
      </c>
      <c r="I29" s="181">
        <f>GETPIVOTDATA("Valor",$H$4,"Cliente","Anbima")/GETPIVOTDATA("Valor",$H$4)</f>
        <v>0.42060092511541725</v>
      </c>
      <c r="K29">
        <v>350</v>
      </c>
      <c r="L29">
        <v>84</v>
      </c>
      <c r="M29" s="5">
        <f>K29*L29</f>
        <v>29400</v>
      </c>
    </row>
    <row r="30" spans="8:13">
      <c r="H30" s="2" t="s">
        <v>194</v>
      </c>
      <c r="I30" s="181">
        <f>GETPIVOTDATA("Valor",$H$4,"Cliente","Crefisa")/GETPIVOTDATA("Valor",$H$4)</f>
        <v>0.32584324581320845</v>
      </c>
      <c r="M30" s="5"/>
    </row>
    <row r="31" spans="8:13">
      <c r="H31" s="2" t="s">
        <v>195</v>
      </c>
      <c r="I31" s="181">
        <f>GETPIVOTDATA("Valor",$H$4,"Cliente","Manipulae")/GETPIVOTDATA("Valor",$H$4)</f>
        <v>0.20812208679733221</v>
      </c>
      <c r="M31" s="5">
        <f>SUM(M28:M29)</f>
        <v>76440</v>
      </c>
    </row>
    <row r="32" spans="8:13">
      <c r="H32" s="2" t="s">
        <v>196</v>
      </c>
      <c r="I32" s="181">
        <f>(GETPIVOTDATA("Valor",$H$4,"Cliente","Warren")+GETPIVOTDATA("Valor",$H$4,"Cliente","Vip Financeira")+GETPIVOTDATA("Valor",$H$4,"Cliente","Geonoma"))/GETPIVOTDATA("Valor",$H$4)</f>
        <v>3.0548359719710469E-2</v>
      </c>
      <c r="M32" s="6">
        <f>M31*5</f>
        <v>382200</v>
      </c>
    </row>
    <row r="33" spans="13:13">
      <c r="M33" s="6">
        <f>M31/SUM(L28:L29)</f>
        <v>303.33333333333331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ZH02</vt:lpstr>
      <vt:lpstr>CUPONI</vt:lpstr>
      <vt:lpstr>MANI</vt:lpstr>
      <vt:lpstr>ANBIMA - Saida de Dados</vt:lpstr>
      <vt:lpstr>ANBIMA - REUNE</vt:lpstr>
      <vt:lpstr>CREFISA</vt:lpstr>
      <vt:lpstr>COGNA - KEEGGO</vt:lpstr>
      <vt:lpstr>LPs</vt:lpstr>
      <vt:lpstr>RESUMO PROJETOS</vt:lpstr>
      <vt:lpstr>DRE ORLA 2023</vt:lpstr>
      <vt:lpstr>Sheet1</vt:lpstr>
      <vt:lpstr>REEMBOLSO</vt:lpstr>
      <vt:lpstr>Sheet2</vt:lpstr>
      <vt:lpstr>Pivot Pagamentos</vt:lpstr>
      <vt:lpstr>PAGAMENTOS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2023-04-17T18:44:47Z</dcterms:created>
  <dcterms:modified xsi:type="dcterms:W3CDTF">2023-08-01T15:17:24Z</dcterms:modified>
</cp:coreProperties>
</file>