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\Desktop\"/>
    </mc:Choice>
  </mc:AlternateContent>
  <xr:revisionPtr revIDLastSave="0" documentId="13_ncr:1_{BD019E29-C64A-4499-A430-F642AFBC9FAB}" xr6:coauthVersionLast="47" xr6:coauthVersionMax="47" xr10:uidLastSave="{00000000-0000-0000-0000-000000000000}"/>
  <bookViews>
    <workbookView xWindow="-120" yWindow="-120" windowWidth="29040" windowHeight="15840" xr2:uid="{4703F294-1EDC-487B-9FCF-F55B35348D9D}"/>
  </bookViews>
  <sheets>
    <sheet name="Gastos gustavo (2)" sheetId="2" r:id="rId1"/>
    <sheet name="Gastos morar soznho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2" l="1"/>
  <c r="E29" i="2" s="1"/>
  <c r="C28" i="2"/>
  <c r="E28" i="2" s="1"/>
  <c r="E30" i="2" s="1"/>
  <c r="E25" i="2"/>
  <c r="E24" i="2"/>
  <c r="E23" i="2"/>
  <c r="E26" i="2" s="1"/>
  <c r="E9" i="2"/>
  <c r="E11" i="2" s="1"/>
  <c r="E14" i="2" s="1"/>
  <c r="E17" i="2" s="1"/>
  <c r="B9" i="2"/>
  <c r="B11" i="2" s="1"/>
  <c r="E5" i="2"/>
  <c r="B5" i="2"/>
  <c r="E5" i="1"/>
  <c r="E9" i="1"/>
  <c r="E11" i="1" s="1"/>
  <c r="E14" i="1" s="1"/>
  <c r="E17" i="1" s="1"/>
  <c r="B9" i="1"/>
  <c r="B5" i="1"/>
  <c r="B11" i="1" l="1"/>
</calcChain>
</file>

<file path=xl/sharedStrings.xml><?xml version="1.0" encoding="utf-8"?>
<sst xmlns="http://schemas.openxmlformats.org/spreadsheetml/2006/main" count="74" uniqueCount="36">
  <si>
    <t>Viagem</t>
  </si>
  <si>
    <t>Fixo total</t>
  </si>
  <si>
    <t>gastos variaveis</t>
  </si>
  <si>
    <t xml:space="preserve">Salario </t>
  </si>
  <si>
    <t>Sobra</t>
  </si>
  <si>
    <t>Possiveis entradas</t>
  </si>
  <si>
    <t xml:space="preserve">Ajuda em casa </t>
  </si>
  <si>
    <t>Imposto tech cost ltda</t>
  </si>
  <si>
    <t>Reposição investimento</t>
  </si>
  <si>
    <t>Academia</t>
  </si>
  <si>
    <t xml:space="preserve">Conta telefone </t>
  </si>
  <si>
    <t xml:space="preserve">Gastos variaveis (Novembro) </t>
  </si>
  <si>
    <t xml:space="preserve">Réveillon Greenvalley com WhoMadeWho </t>
  </si>
  <si>
    <t> 03/01/2026</t>
  </si>
  <si>
    <t>Hugel, Illusionize e Marten Lou no Greenvalley </t>
  </si>
  <si>
    <t>Masculino</t>
  </si>
  <si>
    <t>Feminio</t>
  </si>
  <si>
    <t xml:space="preserve">Custos viagem total </t>
  </si>
  <si>
    <t xml:space="preserve">Gustavo </t>
  </si>
  <si>
    <t xml:space="preserve">Raissa </t>
  </si>
  <si>
    <t xml:space="preserve">Hotel - Onibus </t>
  </si>
  <si>
    <t xml:space="preserve">Beto carreiro </t>
  </si>
  <si>
    <t xml:space="preserve">Passeios </t>
  </si>
  <si>
    <t>Total individual</t>
  </si>
  <si>
    <t xml:space="preserve">Total viagem </t>
  </si>
  <si>
    <t>Total passeios</t>
  </si>
  <si>
    <t xml:space="preserve">Beto + festas </t>
  </si>
  <si>
    <t>Total</t>
  </si>
  <si>
    <t xml:space="preserve">Datas </t>
  </si>
  <si>
    <t>Total mes</t>
  </si>
  <si>
    <t xml:space="preserve">Gastos variaveis (Dezembro) </t>
  </si>
  <si>
    <t>conta telefone</t>
  </si>
  <si>
    <t>Roupas</t>
  </si>
  <si>
    <t>total sobra</t>
  </si>
  <si>
    <t>investimento</t>
  </si>
  <si>
    <t>Custos estimado Jantares + almoços + gastos festas/passeios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</si>
</sst>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0" fillId="2" borderId="0" xfId="0" applyFill="1"/>
    <xf numFmtId="0" fontId="2" fillId="3" borderId="0" xfId="0" applyFont="1" applyFill="1"/>
    <xf numFmtId="0" fontId="5" fillId="0" borderId="0" xfId="0" applyFont="1"/>
    <xf numFmtId="0" fontId="4" fillId="5" borderId="0" xfId="0" applyFont="1" applyFill="1"/>
    <xf numFmtId="0" fontId="4" fillId="4" borderId="0" xfId="0" applyFont="1" applyFill="1"/>
    <xf numFmtId="44" fontId="0" fillId="0" borderId="0" xfId="1" applyFont="1"/>
    <xf numFmtId="44" fontId="2" fillId="3" borderId="0" xfId="1" applyFont="1" applyFill="1"/>
    <xf numFmtId="0" fontId="0" fillId="6" borderId="0" xfId="0" applyFill="1"/>
    <xf numFmtId="14" fontId="0" fillId="6" borderId="0" xfId="0" applyNumberFormat="1" applyFill="1"/>
    <xf numFmtId="44" fontId="0" fillId="6" borderId="0" xfId="1" applyFont="1" applyFill="1"/>
    <xf numFmtId="0" fontId="0" fillId="7" borderId="0" xfId="0" applyFill="1"/>
    <xf numFmtId="14" fontId="0" fillId="7" borderId="0" xfId="0" applyNumberFormat="1" applyFill="1"/>
    <xf numFmtId="44" fontId="0" fillId="7" borderId="0" xfId="1" applyFont="1" applyFill="1"/>
    <xf numFmtId="0" fontId="0" fillId="6" borderId="0" xfId="0" applyFill="1" applyAlignment="1">
      <alignment horizontal="right"/>
    </xf>
    <xf numFmtId="44" fontId="4" fillId="4" borderId="0" xfId="1" applyFont="1" applyFill="1"/>
    <xf numFmtId="44" fontId="4" fillId="5" borderId="0" xfId="1" applyFont="1" applyFill="1"/>
    <xf numFmtId="44" fontId="0" fillId="2" borderId="0" xfId="1" applyFont="1" applyFill="1"/>
    <xf numFmtId="44" fontId="3" fillId="0" borderId="0" xfId="1" applyFont="1"/>
    <xf numFmtId="6" fontId="0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A7C9-6938-4EFB-AC54-A06ECD104CBF}">
  <dimension ref="A1:E30"/>
  <sheetViews>
    <sheetView tabSelected="1" workbookViewId="0">
      <selection activeCell="B3" sqref="B3"/>
    </sheetView>
  </sheetViews>
  <sheetFormatPr defaultRowHeight="15" x14ac:dyDescent="0.25"/>
  <cols>
    <col min="1" max="1" width="54.7109375" bestFit="1" customWidth="1"/>
    <col min="2" max="2" width="29" customWidth="1"/>
    <col min="3" max="3" width="12.7109375" bestFit="1" customWidth="1"/>
    <col min="4" max="4" width="55.5703125" bestFit="1" customWidth="1"/>
    <col min="5" max="5" width="37" customWidth="1"/>
  </cols>
  <sheetData>
    <row r="1" spans="1:5" x14ac:dyDescent="0.25">
      <c r="A1" t="s">
        <v>11</v>
      </c>
      <c r="D1" t="s">
        <v>30</v>
      </c>
    </row>
    <row r="2" spans="1:5" x14ac:dyDescent="0.25">
      <c r="A2" t="s">
        <v>6</v>
      </c>
      <c r="B2" s="7">
        <v>1200</v>
      </c>
      <c r="D2" t="s">
        <v>6</v>
      </c>
      <c r="E2" s="7">
        <v>1200</v>
      </c>
    </row>
    <row r="3" spans="1:5" x14ac:dyDescent="0.25">
      <c r="A3" t="s">
        <v>8</v>
      </c>
      <c r="B3" s="7">
        <v>1500</v>
      </c>
      <c r="D3" t="s">
        <v>34</v>
      </c>
      <c r="E3" s="7">
        <v>1500</v>
      </c>
    </row>
    <row r="4" spans="1:5" x14ac:dyDescent="0.25">
      <c r="A4" t="s">
        <v>7</v>
      </c>
      <c r="B4" s="7">
        <v>1356</v>
      </c>
      <c r="D4" t="s">
        <v>7</v>
      </c>
      <c r="E4" s="7">
        <v>1356</v>
      </c>
    </row>
    <row r="5" spans="1:5" x14ac:dyDescent="0.25">
      <c r="A5" s="3" t="s">
        <v>1</v>
      </c>
      <c r="B5" s="8">
        <f>SUM(B2,B3,B4)</f>
        <v>4056</v>
      </c>
      <c r="D5" s="3" t="s">
        <v>1</v>
      </c>
      <c r="E5" s="8">
        <f>SUM(E2,E3,E4)</f>
        <v>4056</v>
      </c>
    </row>
    <row r="6" spans="1:5" x14ac:dyDescent="0.25">
      <c r="A6" t="s">
        <v>0</v>
      </c>
      <c r="B6" s="7">
        <v>2700</v>
      </c>
      <c r="D6" t="s">
        <v>0</v>
      </c>
      <c r="E6" s="7">
        <v>2700</v>
      </c>
    </row>
    <row r="7" spans="1:5" x14ac:dyDescent="0.25">
      <c r="A7" t="s">
        <v>9</v>
      </c>
      <c r="B7" s="7">
        <v>224.6</v>
      </c>
      <c r="D7" t="s">
        <v>31</v>
      </c>
      <c r="E7" s="7">
        <v>136</v>
      </c>
    </row>
    <row r="8" spans="1:5" x14ac:dyDescent="0.25">
      <c r="A8" t="s">
        <v>10</v>
      </c>
      <c r="B8" s="7">
        <v>136</v>
      </c>
      <c r="D8" t="s">
        <v>32</v>
      </c>
      <c r="E8" s="20">
        <v>1500</v>
      </c>
    </row>
    <row r="9" spans="1:5" x14ac:dyDescent="0.25">
      <c r="A9" s="6" t="s">
        <v>2</v>
      </c>
      <c r="B9" s="16">
        <f>SUM(B6,B7,B8)</f>
        <v>3060.6</v>
      </c>
      <c r="D9" s="6" t="s">
        <v>2</v>
      </c>
      <c r="E9" s="16">
        <f>SUM(E6,E7,E8)</f>
        <v>4336</v>
      </c>
    </row>
    <row r="10" spans="1:5" x14ac:dyDescent="0.25">
      <c r="B10" s="7"/>
      <c r="E10" s="7"/>
    </row>
    <row r="11" spans="1:5" x14ac:dyDescent="0.25">
      <c r="A11" t="s">
        <v>29</v>
      </c>
      <c r="B11" s="7">
        <f>SUM(B5,B9)</f>
        <v>7116.6</v>
      </c>
      <c r="D11" t="s">
        <v>29</v>
      </c>
      <c r="E11" s="7">
        <f>SUM(E5,E9)</f>
        <v>8392</v>
      </c>
    </row>
    <row r="12" spans="1:5" x14ac:dyDescent="0.25">
      <c r="B12" s="7"/>
      <c r="E12" s="7"/>
    </row>
    <row r="13" spans="1:5" s="4" customFormat="1" x14ac:dyDescent="0.25">
      <c r="A13" s="5" t="s">
        <v>3</v>
      </c>
      <c r="B13" s="17">
        <v>8000</v>
      </c>
      <c r="D13" s="5" t="s">
        <v>3</v>
      </c>
      <c r="E13" s="17">
        <v>10000</v>
      </c>
    </row>
    <row r="14" spans="1:5" x14ac:dyDescent="0.25">
      <c r="A14" t="s">
        <v>4</v>
      </c>
      <c r="B14" s="7">
        <v>884</v>
      </c>
      <c r="D14" t="s">
        <v>4</v>
      </c>
      <c r="E14" s="7">
        <f>(E13-E11)</f>
        <v>1608</v>
      </c>
    </row>
    <row r="15" spans="1:5" x14ac:dyDescent="0.25">
      <c r="B15" s="7"/>
      <c r="E15" s="7"/>
    </row>
    <row r="16" spans="1:5" x14ac:dyDescent="0.25">
      <c r="A16" s="2" t="s">
        <v>5</v>
      </c>
      <c r="B16" s="18">
        <v>2000</v>
      </c>
      <c r="D16" s="2" t="s">
        <v>5</v>
      </c>
      <c r="E16" s="18">
        <v>2000</v>
      </c>
    </row>
    <row r="17" spans="1:5" x14ac:dyDescent="0.25">
      <c r="A17" s="1" t="s">
        <v>33</v>
      </c>
      <c r="B17" s="19">
        <v>2884</v>
      </c>
      <c r="D17" s="1" t="s">
        <v>33</v>
      </c>
      <c r="E17" s="19">
        <f>SUM(E14,E16)</f>
        <v>3608</v>
      </c>
    </row>
    <row r="22" spans="1:5" x14ac:dyDescent="0.25">
      <c r="A22" s="5" t="s">
        <v>22</v>
      </c>
      <c r="B22" s="5" t="s">
        <v>28</v>
      </c>
      <c r="C22" s="5" t="s">
        <v>15</v>
      </c>
      <c r="D22" s="5" t="s">
        <v>16</v>
      </c>
      <c r="E22" s="5" t="s">
        <v>27</v>
      </c>
    </row>
    <row r="23" spans="1:5" x14ac:dyDescent="0.25">
      <c r="A23" s="9" t="s">
        <v>21</v>
      </c>
      <c r="B23" s="10">
        <v>46021</v>
      </c>
      <c r="C23" s="11">
        <v>260</v>
      </c>
      <c r="D23" s="11">
        <v>260</v>
      </c>
      <c r="E23" s="11">
        <f t="shared" ref="E23:E25" si="0">SUM(C23,D23)</f>
        <v>520</v>
      </c>
    </row>
    <row r="24" spans="1:5" x14ac:dyDescent="0.25">
      <c r="A24" s="12" t="s">
        <v>12</v>
      </c>
      <c r="B24" s="13">
        <v>46022</v>
      </c>
      <c r="C24" s="14">
        <v>700</v>
      </c>
      <c r="D24" s="14">
        <v>600</v>
      </c>
      <c r="E24" s="14">
        <f t="shared" si="0"/>
        <v>1300</v>
      </c>
    </row>
    <row r="25" spans="1:5" x14ac:dyDescent="0.25">
      <c r="A25" s="9" t="s">
        <v>14</v>
      </c>
      <c r="B25" s="15" t="s">
        <v>13</v>
      </c>
      <c r="C25" s="11">
        <v>400</v>
      </c>
      <c r="D25" s="11">
        <v>300</v>
      </c>
      <c r="E25" s="11">
        <f t="shared" si="0"/>
        <v>700</v>
      </c>
    </row>
    <row r="26" spans="1:5" x14ac:dyDescent="0.25">
      <c r="A26" s="3"/>
      <c r="B26" s="3"/>
      <c r="C26" s="3"/>
      <c r="D26" s="3" t="s">
        <v>25</v>
      </c>
      <c r="E26" s="8">
        <f>SUM(E23,E24,E25)</f>
        <v>2520</v>
      </c>
    </row>
    <row r="27" spans="1:5" ht="14.25" customHeight="1" x14ac:dyDescent="0.25">
      <c r="A27" t="s">
        <v>17</v>
      </c>
      <c r="B27" t="s">
        <v>20</v>
      </c>
      <c r="C27" t="s">
        <v>26</v>
      </c>
      <c r="D27" t="s">
        <v>35</v>
      </c>
      <c r="E27" t="s">
        <v>23</v>
      </c>
    </row>
    <row r="28" spans="1:5" x14ac:dyDescent="0.25">
      <c r="A28" t="s">
        <v>18</v>
      </c>
      <c r="B28" s="7">
        <v>2700</v>
      </c>
      <c r="C28" s="7">
        <f>SUM(C23,C24,C25)</f>
        <v>1360</v>
      </c>
      <c r="D28" s="7">
        <v>1000</v>
      </c>
      <c r="E28" s="7">
        <f>SUM(B28,C28,D28)</f>
        <v>5060</v>
      </c>
    </row>
    <row r="29" spans="1:5" x14ac:dyDescent="0.25">
      <c r="A29" t="s">
        <v>19</v>
      </c>
      <c r="B29" s="7">
        <v>2700</v>
      </c>
      <c r="C29" s="7">
        <f>SUM(D23,D24,D25)</f>
        <v>1160</v>
      </c>
      <c r="D29" s="7">
        <v>1000</v>
      </c>
      <c r="E29" s="7">
        <f>SUM(B29,C29,D29)</f>
        <v>4860</v>
      </c>
    </row>
    <row r="30" spans="1:5" x14ac:dyDescent="0.25">
      <c r="A30" s="3"/>
      <c r="B30" s="3"/>
      <c r="C30" s="3"/>
      <c r="D30" s="3" t="s">
        <v>24</v>
      </c>
      <c r="E30" s="8">
        <f>SUM(E28,E29)</f>
        <v>9920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3D29-9B31-449A-9F14-F7B01CD052B8}">
  <dimension ref="A1:E27"/>
  <sheetViews>
    <sheetView topLeftCell="A4" workbookViewId="0">
      <selection activeCell="B14" sqref="B14"/>
    </sheetView>
  </sheetViews>
  <sheetFormatPr defaultRowHeight="15" x14ac:dyDescent="0.25"/>
  <cols>
    <col min="1" max="1" width="54.7109375" bestFit="1" customWidth="1"/>
    <col min="2" max="2" width="29" customWidth="1"/>
    <col min="3" max="3" width="12.7109375" bestFit="1" customWidth="1"/>
    <col min="4" max="4" width="55.5703125" bestFit="1" customWidth="1"/>
    <col min="5" max="5" width="37" customWidth="1"/>
  </cols>
  <sheetData>
    <row r="1" spans="1:5" x14ac:dyDescent="0.25">
      <c r="A1" t="s">
        <v>11</v>
      </c>
      <c r="D1" t="s">
        <v>30</v>
      </c>
    </row>
    <row r="2" spans="1:5" x14ac:dyDescent="0.25">
      <c r="A2" t="s">
        <v>6</v>
      </c>
      <c r="B2" s="7">
        <v>0</v>
      </c>
      <c r="D2" t="s">
        <v>6</v>
      </c>
      <c r="E2" s="7">
        <v>1200</v>
      </c>
    </row>
    <row r="3" spans="1:5" x14ac:dyDescent="0.25">
      <c r="A3" t="s">
        <v>8</v>
      </c>
      <c r="B3" s="7">
        <v>1500</v>
      </c>
      <c r="D3" t="s">
        <v>34</v>
      </c>
      <c r="E3" s="7">
        <v>1500</v>
      </c>
    </row>
    <row r="4" spans="1:5" x14ac:dyDescent="0.25">
      <c r="A4" t="s">
        <v>7</v>
      </c>
      <c r="B4" s="7">
        <v>1356</v>
      </c>
      <c r="D4" t="s">
        <v>7</v>
      </c>
      <c r="E4" s="7">
        <v>1356</v>
      </c>
    </row>
    <row r="5" spans="1:5" x14ac:dyDescent="0.25">
      <c r="A5" s="3" t="s">
        <v>1</v>
      </c>
      <c r="B5" s="8">
        <f>SUM(B2,B3,B4)</f>
        <v>2856</v>
      </c>
      <c r="D5" s="3" t="s">
        <v>1</v>
      </c>
      <c r="E5" s="8">
        <f>SUM(E2,E3,E4)</f>
        <v>4056</v>
      </c>
    </row>
    <row r="6" spans="1:5" x14ac:dyDescent="0.25">
      <c r="A6" t="s">
        <v>0</v>
      </c>
      <c r="B6" s="7"/>
      <c r="D6" t="s">
        <v>0</v>
      </c>
      <c r="E6" s="7">
        <v>2700</v>
      </c>
    </row>
    <row r="7" spans="1:5" x14ac:dyDescent="0.25">
      <c r="A7" t="s">
        <v>9</v>
      </c>
      <c r="B7" s="7">
        <v>224.6</v>
      </c>
      <c r="D7" t="s">
        <v>31</v>
      </c>
      <c r="E7" s="7">
        <v>136</v>
      </c>
    </row>
    <row r="8" spans="1:5" x14ac:dyDescent="0.25">
      <c r="A8" t="s">
        <v>10</v>
      </c>
      <c r="B8" s="7">
        <v>136</v>
      </c>
      <c r="D8" t="s">
        <v>32</v>
      </c>
      <c r="E8" s="20">
        <v>1500</v>
      </c>
    </row>
    <row r="9" spans="1:5" x14ac:dyDescent="0.25">
      <c r="A9" s="6" t="s">
        <v>2</v>
      </c>
      <c r="B9" s="16">
        <f>SUM(B6,B7,B8)</f>
        <v>360.6</v>
      </c>
      <c r="D9" s="6" t="s">
        <v>2</v>
      </c>
      <c r="E9" s="16">
        <f>SUM(E6,E7,E8)</f>
        <v>4336</v>
      </c>
    </row>
    <row r="10" spans="1:5" x14ac:dyDescent="0.25">
      <c r="B10" s="7"/>
      <c r="E10" s="7"/>
    </row>
    <row r="11" spans="1:5" x14ac:dyDescent="0.25">
      <c r="A11" t="s">
        <v>29</v>
      </c>
      <c r="B11" s="7">
        <f>SUM(B5,B9)</f>
        <v>3216.6</v>
      </c>
      <c r="D11" t="s">
        <v>29</v>
      </c>
      <c r="E11" s="7">
        <f>SUM(E5,E9)</f>
        <v>8392</v>
      </c>
    </row>
    <row r="12" spans="1:5" x14ac:dyDescent="0.25">
      <c r="B12" s="7"/>
      <c r="E12" s="7"/>
    </row>
    <row r="13" spans="1:5" s="4" customFormat="1" x14ac:dyDescent="0.25">
      <c r="A13" s="5" t="s">
        <v>3</v>
      </c>
      <c r="B13" s="17">
        <v>6000</v>
      </c>
      <c r="D13" s="5" t="s">
        <v>3</v>
      </c>
      <c r="E13" s="17">
        <v>10000</v>
      </c>
    </row>
    <row r="14" spans="1:5" x14ac:dyDescent="0.25">
      <c r="A14" t="s">
        <v>4</v>
      </c>
      <c r="B14" s="7">
        <v>884</v>
      </c>
      <c r="D14" t="s">
        <v>4</v>
      </c>
      <c r="E14" s="7">
        <f>(E13-E11)</f>
        <v>1608</v>
      </c>
    </row>
    <row r="15" spans="1:5" x14ac:dyDescent="0.25">
      <c r="B15" s="7"/>
      <c r="E15" s="7"/>
    </row>
    <row r="16" spans="1:5" x14ac:dyDescent="0.25">
      <c r="A16" s="2" t="s">
        <v>5</v>
      </c>
      <c r="B16" s="18">
        <v>2000</v>
      </c>
      <c r="D16" s="2" t="s">
        <v>5</v>
      </c>
      <c r="E16" s="18">
        <v>2000</v>
      </c>
    </row>
    <row r="17" spans="1:5" x14ac:dyDescent="0.25">
      <c r="A17" s="1" t="s">
        <v>33</v>
      </c>
      <c r="B17" s="19">
        <v>2884</v>
      </c>
      <c r="D17" s="1" t="s">
        <v>33</v>
      </c>
      <c r="E17" s="19">
        <f>SUM(E14,E16)</f>
        <v>3608</v>
      </c>
    </row>
    <row r="21" spans="1:5" ht="15.75" customHeight="1" x14ac:dyDescent="0.25"/>
    <row r="27" spans="1:5" ht="14.25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Gastos gustavo (2)</vt:lpstr>
      <vt:lpstr>Gastos morar soznho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Filippe Saba</dc:creator>
  <cp:lastModifiedBy>Filippe Saba</cp:lastModifiedBy>
  <dcterms:created xsi:type="dcterms:W3CDTF">2025-10-27T13:55:26Z</dcterms:created>
  <dcterms:modified xsi:type="dcterms:W3CDTF">2025-11-05T20:07:38Z</dcterms:modified>
</cp:coreProperties>
</file>